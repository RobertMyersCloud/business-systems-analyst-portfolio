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bert Myers\Downloads\"/>
    </mc:Choice>
  </mc:AlternateContent>
  <xr:revisionPtr revIDLastSave="0" documentId="13_ncr:1_{4D071472-07FA-4A3E-AD02-14757B76C6ED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README" sheetId="1" r:id="rId1"/>
    <sheet name="Raw_Data" sheetId="2" r:id="rId2"/>
    <sheet name="Clean_Data" sheetId="3" r:id="rId3"/>
    <sheet name="Dashboard" sheetId="4" r:id="rId4"/>
    <sheet name="Data_Dictionary" sheetId="5" r:id="rId5"/>
    <sheet name="Lis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4" l="1"/>
  <c r="K81" i="3"/>
  <c r="J81" i="3"/>
  <c r="O81" i="3" s="1"/>
  <c r="P81" i="3" s="1"/>
  <c r="I81" i="3"/>
  <c r="H81" i="3"/>
  <c r="G81" i="3"/>
  <c r="F81" i="3"/>
  <c r="E81" i="3"/>
  <c r="D81" i="3"/>
  <c r="C81" i="3"/>
  <c r="B81" i="3"/>
  <c r="A81" i="3"/>
  <c r="K80" i="3"/>
  <c r="J80" i="3"/>
  <c r="O80" i="3" s="1"/>
  <c r="P80" i="3" s="1"/>
  <c r="I80" i="3"/>
  <c r="H80" i="3"/>
  <c r="G80" i="3"/>
  <c r="F80" i="3"/>
  <c r="E80" i="3"/>
  <c r="D80" i="3"/>
  <c r="C80" i="3"/>
  <c r="B80" i="3"/>
  <c r="A80" i="3"/>
  <c r="K79" i="3"/>
  <c r="J79" i="3"/>
  <c r="O79" i="3" s="1"/>
  <c r="P79" i="3" s="1"/>
  <c r="I79" i="3"/>
  <c r="H79" i="3"/>
  <c r="G79" i="3"/>
  <c r="F79" i="3"/>
  <c r="E79" i="3"/>
  <c r="D79" i="3"/>
  <c r="C79" i="3"/>
  <c r="B79" i="3"/>
  <c r="A79" i="3"/>
  <c r="K78" i="3"/>
  <c r="J78" i="3"/>
  <c r="O78" i="3" s="1"/>
  <c r="P78" i="3" s="1"/>
  <c r="I78" i="3"/>
  <c r="H78" i="3"/>
  <c r="G78" i="3"/>
  <c r="F78" i="3"/>
  <c r="E78" i="3"/>
  <c r="D78" i="3"/>
  <c r="C78" i="3"/>
  <c r="B78" i="3"/>
  <c r="A78" i="3"/>
  <c r="K77" i="3"/>
  <c r="J77" i="3"/>
  <c r="O77" i="3" s="1"/>
  <c r="P77" i="3" s="1"/>
  <c r="I77" i="3"/>
  <c r="H77" i="3"/>
  <c r="G77" i="3"/>
  <c r="F77" i="3"/>
  <c r="E77" i="3"/>
  <c r="D77" i="3"/>
  <c r="C77" i="3"/>
  <c r="B77" i="3"/>
  <c r="A77" i="3"/>
  <c r="K76" i="3"/>
  <c r="J76" i="3"/>
  <c r="O76" i="3" s="1"/>
  <c r="P76" i="3" s="1"/>
  <c r="I76" i="3"/>
  <c r="H76" i="3"/>
  <c r="G76" i="3"/>
  <c r="F76" i="3"/>
  <c r="E76" i="3"/>
  <c r="D76" i="3"/>
  <c r="C76" i="3"/>
  <c r="B76" i="3"/>
  <c r="A76" i="3"/>
  <c r="K75" i="3"/>
  <c r="B9" i="4" s="1"/>
  <c r="J75" i="3"/>
  <c r="O75" i="3" s="1"/>
  <c r="P75" i="3" s="1"/>
  <c r="I75" i="3"/>
  <c r="H75" i="3"/>
  <c r="G75" i="3"/>
  <c r="F75" i="3"/>
  <c r="E75" i="3"/>
  <c r="D75" i="3"/>
  <c r="C75" i="3"/>
  <c r="B75" i="3"/>
  <c r="A75" i="3"/>
  <c r="B5" i="4" s="1"/>
  <c r="O74" i="3"/>
  <c r="P74" i="3" s="1"/>
  <c r="N74" i="3"/>
  <c r="K74" i="3"/>
  <c r="J74" i="3"/>
  <c r="I74" i="3"/>
  <c r="H74" i="3"/>
  <c r="G74" i="3"/>
  <c r="F74" i="3"/>
  <c r="E74" i="3"/>
  <c r="D74" i="3"/>
  <c r="C74" i="3"/>
  <c r="B74" i="3"/>
  <c r="A74" i="3"/>
  <c r="K73" i="3"/>
  <c r="J73" i="3"/>
  <c r="O73" i="3" s="1"/>
  <c r="P73" i="3" s="1"/>
  <c r="I73" i="3"/>
  <c r="H73" i="3"/>
  <c r="G73" i="3"/>
  <c r="F73" i="3"/>
  <c r="E73" i="3"/>
  <c r="D73" i="3"/>
  <c r="C73" i="3"/>
  <c r="B73" i="3"/>
  <c r="A73" i="3"/>
  <c r="K72" i="3"/>
  <c r="J72" i="3"/>
  <c r="O72" i="3" s="1"/>
  <c r="P72" i="3" s="1"/>
  <c r="I72" i="3"/>
  <c r="H72" i="3"/>
  <c r="G72" i="3"/>
  <c r="F72" i="3"/>
  <c r="E72" i="3"/>
  <c r="D72" i="3"/>
  <c r="C72" i="3"/>
  <c r="B72" i="3"/>
  <c r="A72" i="3"/>
  <c r="K71" i="3"/>
  <c r="J71" i="3"/>
  <c r="O71" i="3" s="1"/>
  <c r="P71" i="3" s="1"/>
  <c r="I71" i="3"/>
  <c r="H71" i="3"/>
  <c r="G71" i="3"/>
  <c r="F71" i="3"/>
  <c r="E71" i="3"/>
  <c r="D71" i="3"/>
  <c r="C71" i="3"/>
  <c r="B71" i="3"/>
  <c r="A71" i="3"/>
  <c r="K70" i="3"/>
  <c r="J70" i="3"/>
  <c r="O70" i="3" s="1"/>
  <c r="P70" i="3" s="1"/>
  <c r="I70" i="3"/>
  <c r="H70" i="3"/>
  <c r="G70" i="3"/>
  <c r="F70" i="3"/>
  <c r="E70" i="3"/>
  <c r="D70" i="3"/>
  <c r="C70" i="3"/>
  <c r="B70" i="3"/>
  <c r="A70" i="3"/>
  <c r="N69" i="3"/>
  <c r="M69" i="3"/>
  <c r="L69" i="3"/>
  <c r="K69" i="3"/>
  <c r="J69" i="3"/>
  <c r="O69" i="3" s="1"/>
  <c r="P69" i="3" s="1"/>
  <c r="I69" i="3"/>
  <c r="H69" i="3"/>
  <c r="G69" i="3"/>
  <c r="F69" i="3"/>
  <c r="E69" i="3"/>
  <c r="D69" i="3"/>
  <c r="C69" i="3"/>
  <c r="B69" i="3"/>
  <c r="A69" i="3"/>
  <c r="K68" i="3"/>
  <c r="J68" i="3"/>
  <c r="O68" i="3" s="1"/>
  <c r="P68" i="3" s="1"/>
  <c r="I68" i="3"/>
  <c r="H68" i="3"/>
  <c r="G68" i="3"/>
  <c r="F68" i="3"/>
  <c r="E68" i="3"/>
  <c r="D68" i="3"/>
  <c r="C68" i="3"/>
  <c r="B68" i="3"/>
  <c r="A68" i="3"/>
  <c r="K67" i="3"/>
  <c r="J67" i="3"/>
  <c r="O67" i="3" s="1"/>
  <c r="P67" i="3" s="1"/>
  <c r="I67" i="3"/>
  <c r="H67" i="3"/>
  <c r="G67" i="3"/>
  <c r="F67" i="3"/>
  <c r="E67" i="3"/>
  <c r="D67" i="3"/>
  <c r="C67" i="3"/>
  <c r="B67" i="3"/>
  <c r="A67" i="3"/>
  <c r="K66" i="3"/>
  <c r="J66" i="3"/>
  <c r="O66" i="3" s="1"/>
  <c r="P66" i="3" s="1"/>
  <c r="I66" i="3"/>
  <c r="H66" i="3"/>
  <c r="G66" i="3"/>
  <c r="F66" i="3"/>
  <c r="E66" i="3"/>
  <c r="D66" i="3"/>
  <c r="C66" i="3"/>
  <c r="B66" i="3"/>
  <c r="A66" i="3"/>
  <c r="K65" i="3"/>
  <c r="J65" i="3"/>
  <c r="O65" i="3" s="1"/>
  <c r="P65" i="3" s="1"/>
  <c r="I65" i="3"/>
  <c r="H65" i="3"/>
  <c r="G65" i="3"/>
  <c r="F65" i="3"/>
  <c r="E65" i="3"/>
  <c r="D65" i="3"/>
  <c r="C65" i="3"/>
  <c r="B65" i="3"/>
  <c r="A65" i="3"/>
  <c r="K64" i="3"/>
  <c r="J64" i="3"/>
  <c r="O64" i="3" s="1"/>
  <c r="P64" i="3" s="1"/>
  <c r="I64" i="3"/>
  <c r="H64" i="3"/>
  <c r="G64" i="3"/>
  <c r="F64" i="3"/>
  <c r="E64" i="3"/>
  <c r="D64" i="3"/>
  <c r="C64" i="3"/>
  <c r="B64" i="3"/>
  <c r="A64" i="3"/>
  <c r="K63" i="3"/>
  <c r="J63" i="3"/>
  <c r="O63" i="3" s="1"/>
  <c r="P63" i="3" s="1"/>
  <c r="I63" i="3"/>
  <c r="H63" i="3"/>
  <c r="G63" i="3"/>
  <c r="F63" i="3"/>
  <c r="E63" i="3"/>
  <c r="D63" i="3"/>
  <c r="C63" i="3"/>
  <c r="B63" i="3"/>
  <c r="A63" i="3"/>
  <c r="K62" i="3"/>
  <c r="J62" i="3"/>
  <c r="O62" i="3" s="1"/>
  <c r="P62" i="3" s="1"/>
  <c r="I62" i="3"/>
  <c r="H62" i="3"/>
  <c r="G62" i="3"/>
  <c r="F62" i="3"/>
  <c r="E62" i="3"/>
  <c r="D62" i="3"/>
  <c r="C62" i="3"/>
  <c r="B62" i="3"/>
  <c r="A62" i="3"/>
  <c r="K61" i="3"/>
  <c r="J61" i="3"/>
  <c r="O61" i="3" s="1"/>
  <c r="P61" i="3" s="1"/>
  <c r="I61" i="3"/>
  <c r="H61" i="3"/>
  <c r="G61" i="3"/>
  <c r="F61" i="3"/>
  <c r="E61" i="3"/>
  <c r="D61" i="3"/>
  <c r="C61" i="3"/>
  <c r="B61" i="3"/>
  <c r="A61" i="3"/>
  <c r="K60" i="3"/>
  <c r="J60" i="3"/>
  <c r="O60" i="3" s="1"/>
  <c r="P60" i="3" s="1"/>
  <c r="I60" i="3"/>
  <c r="H60" i="3"/>
  <c r="G60" i="3"/>
  <c r="F60" i="3"/>
  <c r="E60" i="3"/>
  <c r="D60" i="3"/>
  <c r="C60" i="3"/>
  <c r="B60" i="3"/>
  <c r="A60" i="3"/>
  <c r="K59" i="3"/>
  <c r="J59" i="3"/>
  <c r="O59" i="3" s="1"/>
  <c r="P59" i="3" s="1"/>
  <c r="I59" i="3"/>
  <c r="H59" i="3"/>
  <c r="G59" i="3"/>
  <c r="F59" i="3"/>
  <c r="E59" i="3"/>
  <c r="D59" i="3"/>
  <c r="C59" i="3"/>
  <c r="B59" i="3"/>
  <c r="A59" i="3"/>
  <c r="K58" i="3"/>
  <c r="J58" i="3"/>
  <c r="O58" i="3" s="1"/>
  <c r="P58" i="3" s="1"/>
  <c r="I58" i="3"/>
  <c r="H58" i="3"/>
  <c r="G58" i="3"/>
  <c r="F58" i="3"/>
  <c r="E58" i="3"/>
  <c r="D58" i="3"/>
  <c r="C58" i="3"/>
  <c r="B58" i="3"/>
  <c r="A58" i="3"/>
  <c r="K57" i="3"/>
  <c r="J57" i="3"/>
  <c r="O57" i="3" s="1"/>
  <c r="P57" i="3" s="1"/>
  <c r="I57" i="3"/>
  <c r="H57" i="3"/>
  <c r="G57" i="3"/>
  <c r="F57" i="3"/>
  <c r="E57" i="3"/>
  <c r="D57" i="3"/>
  <c r="C57" i="3"/>
  <c r="B57" i="3"/>
  <c r="A57" i="3"/>
  <c r="K56" i="3"/>
  <c r="J56" i="3"/>
  <c r="O56" i="3" s="1"/>
  <c r="P56" i="3" s="1"/>
  <c r="I56" i="3"/>
  <c r="H56" i="3"/>
  <c r="G56" i="3"/>
  <c r="F56" i="3"/>
  <c r="E56" i="3"/>
  <c r="D56" i="3"/>
  <c r="C56" i="3"/>
  <c r="B56" i="3"/>
  <c r="A56" i="3"/>
  <c r="K55" i="3"/>
  <c r="J55" i="3"/>
  <c r="O55" i="3" s="1"/>
  <c r="P55" i="3" s="1"/>
  <c r="I55" i="3"/>
  <c r="H55" i="3"/>
  <c r="G55" i="3"/>
  <c r="F55" i="3"/>
  <c r="E55" i="3"/>
  <c r="D55" i="3"/>
  <c r="C55" i="3"/>
  <c r="B55" i="3"/>
  <c r="A55" i="3"/>
  <c r="K54" i="3"/>
  <c r="J54" i="3"/>
  <c r="O54" i="3" s="1"/>
  <c r="P54" i="3" s="1"/>
  <c r="I54" i="3"/>
  <c r="H54" i="3"/>
  <c r="G54" i="3"/>
  <c r="F54" i="3"/>
  <c r="E54" i="3"/>
  <c r="D54" i="3"/>
  <c r="C54" i="3"/>
  <c r="B54" i="3"/>
  <c r="A54" i="3"/>
  <c r="K53" i="3"/>
  <c r="J53" i="3"/>
  <c r="O53" i="3" s="1"/>
  <c r="P53" i="3" s="1"/>
  <c r="I53" i="3"/>
  <c r="H53" i="3"/>
  <c r="G53" i="3"/>
  <c r="F53" i="3"/>
  <c r="E53" i="3"/>
  <c r="D53" i="3"/>
  <c r="C53" i="3"/>
  <c r="B53" i="3"/>
  <c r="A53" i="3"/>
  <c r="K52" i="3"/>
  <c r="J52" i="3"/>
  <c r="O52" i="3" s="1"/>
  <c r="P52" i="3" s="1"/>
  <c r="I52" i="3"/>
  <c r="H52" i="3"/>
  <c r="G52" i="3"/>
  <c r="F52" i="3"/>
  <c r="E52" i="3"/>
  <c r="D52" i="3"/>
  <c r="C52" i="3"/>
  <c r="B52" i="3"/>
  <c r="A52" i="3"/>
  <c r="K51" i="3"/>
  <c r="J51" i="3"/>
  <c r="O51" i="3" s="1"/>
  <c r="P51" i="3" s="1"/>
  <c r="I51" i="3"/>
  <c r="H51" i="3"/>
  <c r="G51" i="3"/>
  <c r="F51" i="3"/>
  <c r="E51" i="3"/>
  <c r="D51" i="3"/>
  <c r="C51" i="3"/>
  <c r="B51" i="3"/>
  <c r="A51" i="3"/>
  <c r="K50" i="3"/>
  <c r="J50" i="3"/>
  <c r="O50" i="3" s="1"/>
  <c r="P50" i="3" s="1"/>
  <c r="I50" i="3"/>
  <c r="H50" i="3"/>
  <c r="G50" i="3"/>
  <c r="F50" i="3"/>
  <c r="E50" i="3"/>
  <c r="D50" i="3"/>
  <c r="C50" i="3"/>
  <c r="B50" i="3"/>
  <c r="A50" i="3"/>
  <c r="K49" i="3"/>
  <c r="J49" i="3"/>
  <c r="O49" i="3" s="1"/>
  <c r="P49" i="3" s="1"/>
  <c r="I49" i="3"/>
  <c r="H49" i="3"/>
  <c r="G49" i="3"/>
  <c r="F49" i="3"/>
  <c r="E49" i="3"/>
  <c r="D49" i="3"/>
  <c r="C49" i="3"/>
  <c r="B49" i="3"/>
  <c r="A49" i="3"/>
  <c r="K48" i="3"/>
  <c r="J48" i="3"/>
  <c r="O48" i="3" s="1"/>
  <c r="P48" i="3" s="1"/>
  <c r="I48" i="3"/>
  <c r="H48" i="3"/>
  <c r="G48" i="3"/>
  <c r="F48" i="3"/>
  <c r="E48" i="3"/>
  <c r="D48" i="3"/>
  <c r="C48" i="3"/>
  <c r="B48" i="3"/>
  <c r="A48" i="3"/>
  <c r="K47" i="3"/>
  <c r="J47" i="3"/>
  <c r="O47" i="3" s="1"/>
  <c r="P47" i="3" s="1"/>
  <c r="I47" i="3"/>
  <c r="H47" i="3"/>
  <c r="G47" i="3"/>
  <c r="F47" i="3"/>
  <c r="E47" i="3"/>
  <c r="D47" i="3"/>
  <c r="C47" i="3"/>
  <c r="B47" i="3"/>
  <c r="A47" i="3"/>
  <c r="K46" i="3"/>
  <c r="J46" i="3"/>
  <c r="O46" i="3" s="1"/>
  <c r="P46" i="3" s="1"/>
  <c r="I46" i="3"/>
  <c r="H46" i="3"/>
  <c r="G46" i="3"/>
  <c r="F46" i="3"/>
  <c r="E46" i="3"/>
  <c r="D46" i="3"/>
  <c r="C46" i="3"/>
  <c r="B46" i="3"/>
  <c r="A46" i="3"/>
  <c r="K45" i="3"/>
  <c r="J45" i="3"/>
  <c r="O45" i="3" s="1"/>
  <c r="P45" i="3" s="1"/>
  <c r="I45" i="3"/>
  <c r="H45" i="3"/>
  <c r="G45" i="3"/>
  <c r="F45" i="3"/>
  <c r="E45" i="3"/>
  <c r="D45" i="3"/>
  <c r="C45" i="3"/>
  <c r="B45" i="3"/>
  <c r="A45" i="3"/>
  <c r="K44" i="3"/>
  <c r="J44" i="3"/>
  <c r="O44" i="3" s="1"/>
  <c r="P44" i="3" s="1"/>
  <c r="I44" i="3"/>
  <c r="H44" i="3"/>
  <c r="G44" i="3"/>
  <c r="F44" i="3"/>
  <c r="E44" i="3"/>
  <c r="D44" i="3"/>
  <c r="C44" i="3"/>
  <c r="B44" i="3"/>
  <c r="A44" i="3"/>
  <c r="K43" i="3"/>
  <c r="J43" i="3"/>
  <c r="O43" i="3" s="1"/>
  <c r="P43" i="3" s="1"/>
  <c r="I43" i="3"/>
  <c r="H43" i="3"/>
  <c r="G43" i="3"/>
  <c r="F43" i="3"/>
  <c r="E43" i="3"/>
  <c r="D43" i="3"/>
  <c r="C43" i="3"/>
  <c r="B43" i="3"/>
  <c r="A43" i="3"/>
  <c r="K42" i="3"/>
  <c r="J42" i="3"/>
  <c r="O42" i="3" s="1"/>
  <c r="P42" i="3" s="1"/>
  <c r="I42" i="3"/>
  <c r="H42" i="3"/>
  <c r="G42" i="3"/>
  <c r="F42" i="3"/>
  <c r="E42" i="3"/>
  <c r="D42" i="3"/>
  <c r="C42" i="3"/>
  <c r="B42" i="3"/>
  <c r="A42" i="3"/>
  <c r="K41" i="3"/>
  <c r="J41" i="3"/>
  <c r="O41" i="3" s="1"/>
  <c r="P41" i="3" s="1"/>
  <c r="I41" i="3"/>
  <c r="H41" i="3"/>
  <c r="G41" i="3"/>
  <c r="F41" i="3"/>
  <c r="E41" i="3"/>
  <c r="D41" i="3"/>
  <c r="C41" i="3"/>
  <c r="B41" i="3"/>
  <c r="A41" i="3"/>
  <c r="K40" i="3"/>
  <c r="J40" i="3"/>
  <c r="O40" i="3" s="1"/>
  <c r="P40" i="3" s="1"/>
  <c r="I40" i="3"/>
  <c r="H40" i="3"/>
  <c r="G40" i="3"/>
  <c r="F40" i="3"/>
  <c r="E40" i="3"/>
  <c r="D40" i="3"/>
  <c r="C40" i="3"/>
  <c r="B40" i="3"/>
  <c r="A40" i="3"/>
  <c r="K39" i="3"/>
  <c r="J39" i="3"/>
  <c r="O39" i="3" s="1"/>
  <c r="P39" i="3" s="1"/>
  <c r="I39" i="3"/>
  <c r="H39" i="3"/>
  <c r="G39" i="3"/>
  <c r="F39" i="3"/>
  <c r="E39" i="3"/>
  <c r="D39" i="3"/>
  <c r="C39" i="3"/>
  <c r="B39" i="3"/>
  <c r="A39" i="3"/>
  <c r="K38" i="3"/>
  <c r="J38" i="3"/>
  <c r="O38" i="3" s="1"/>
  <c r="P38" i="3" s="1"/>
  <c r="I38" i="3"/>
  <c r="H38" i="3"/>
  <c r="G38" i="3"/>
  <c r="F38" i="3"/>
  <c r="E38" i="3"/>
  <c r="D38" i="3"/>
  <c r="C38" i="3"/>
  <c r="B38" i="3"/>
  <c r="A38" i="3"/>
  <c r="K37" i="3"/>
  <c r="J37" i="3"/>
  <c r="O37" i="3" s="1"/>
  <c r="P37" i="3" s="1"/>
  <c r="I37" i="3"/>
  <c r="H37" i="3"/>
  <c r="G37" i="3"/>
  <c r="F37" i="3"/>
  <c r="E37" i="3"/>
  <c r="D37" i="3"/>
  <c r="C37" i="3"/>
  <c r="B37" i="3"/>
  <c r="A37" i="3"/>
  <c r="K36" i="3"/>
  <c r="J36" i="3"/>
  <c r="O36" i="3" s="1"/>
  <c r="P36" i="3" s="1"/>
  <c r="I36" i="3"/>
  <c r="H36" i="3"/>
  <c r="G36" i="3"/>
  <c r="F36" i="3"/>
  <c r="E36" i="3"/>
  <c r="D36" i="3"/>
  <c r="C36" i="3"/>
  <c r="B36" i="3"/>
  <c r="A36" i="3"/>
  <c r="K35" i="3"/>
  <c r="J35" i="3"/>
  <c r="O35" i="3" s="1"/>
  <c r="P35" i="3" s="1"/>
  <c r="I35" i="3"/>
  <c r="H35" i="3"/>
  <c r="G35" i="3"/>
  <c r="F35" i="3"/>
  <c r="E35" i="3"/>
  <c r="D35" i="3"/>
  <c r="C35" i="3"/>
  <c r="B35" i="3"/>
  <c r="A35" i="3"/>
  <c r="K34" i="3"/>
  <c r="J34" i="3"/>
  <c r="O34" i="3" s="1"/>
  <c r="P34" i="3" s="1"/>
  <c r="I34" i="3"/>
  <c r="H34" i="3"/>
  <c r="G34" i="3"/>
  <c r="F34" i="3"/>
  <c r="E34" i="3"/>
  <c r="D34" i="3"/>
  <c r="C34" i="3"/>
  <c r="B34" i="3"/>
  <c r="A34" i="3"/>
  <c r="K33" i="3"/>
  <c r="J33" i="3"/>
  <c r="O33" i="3" s="1"/>
  <c r="P33" i="3" s="1"/>
  <c r="I33" i="3"/>
  <c r="H33" i="3"/>
  <c r="G33" i="3"/>
  <c r="F33" i="3"/>
  <c r="E33" i="3"/>
  <c r="D33" i="3"/>
  <c r="C33" i="3"/>
  <c r="B33" i="3"/>
  <c r="A33" i="3"/>
  <c r="K32" i="3"/>
  <c r="J32" i="3"/>
  <c r="O32" i="3" s="1"/>
  <c r="P32" i="3" s="1"/>
  <c r="I32" i="3"/>
  <c r="H32" i="3"/>
  <c r="G32" i="3"/>
  <c r="F32" i="3"/>
  <c r="E32" i="3"/>
  <c r="D32" i="3"/>
  <c r="C32" i="3"/>
  <c r="B32" i="3"/>
  <c r="A32" i="3"/>
  <c r="K31" i="3"/>
  <c r="J31" i="3"/>
  <c r="O31" i="3" s="1"/>
  <c r="P31" i="3" s="1"/>
  <c r="I31" i="3"/>
  <c r="H31" i="3"/>
  <c r="G31" i="3"/>
  <c r="F31" i="3"/>
  <c r="E31" i="3"/>
  <c r="D31" i="3"/>
  <c r="C31" i="3"/>
  <c r="B31" i="3"/>
  <c r="A31" i="3"/>
  <c r="K30" i="3"/>
  <c r="J30" i="3"/>
  <c r="O30" i="3" s="1"/>
  <c r="P30" i="3" s="1"/>
  <c r="I30" i="3"/>
  <c r="H30" i="3"/>
  <c r="G30" i="3"/>
  <c r="F30" i="3"/>
  <c r="E30" i="3"/>
  <c r="D30" i="3"/>
  <c r="C30" i="3"/>
  <c r="B30" i="3"/>
  <c r="A30" i="3"/>
  <c r="K29" i="3"/>
  <c r="J29" i="3"/>
  <c r="O29" i="3" s="1"/>
  <c r="P29" i="3" s="1"/>
  <c r="I29" i="3"/>
  <c r="H29" i="3"/>
  <c r="G29" i="3"/>
  <c r="F29" i="3"/>
  <c r="E29" i="3"/>
  <c r="D29" i="3"/>
  <c r="C29" i="3"/>
  <c r="B29" i="3"/>
  <c r="A29" i="3"/>
  <c r="K28" i="3"/>
  <c r="J28" i="3"/>
  <c r="O28" i="3" s="1"/>
  <c r="P28" i="3" s="1"/>
  <c r="I28" i="3"/>
  <c r="H28" i="3"/>
  <c r="G28" i="3"/>
  <c r="F28" i="3"/>
  <c r="E28" i="3"/>
  <c r="D28" i="3"/>
  <c r="C28" i="3"/>
  <c r="B28" i="3"/>
  <c r="A28" i="3"/>
  <c r="K27" i="3"/>
  <c r="J27" i="3"/>
  <c r="O27" i="3" s="1"/>
  <c r="P27" i="3" s="1"/>
  <c r="I27" i="3"/>
  <c r="H27" i="3"/>
  <c r="G27" i="3"/>
  <c r="F27" i="3"/>
  <c r="E27" i="3"/>
  <c r="D27" i="3"/>
  <c r="C27" i="3"/>
  <c r="B27" i="3"/>
  <c r="A27" i="3"/>
  <c r="K26" i="3"/>
  <c r="J26" i="3"/>
  <c r="O26" i="3" s="1"/>
  <c r="P26" i="3" s="1"/>
  <c r="I26" i="3"/>
  <c r="H26" i="3"/>
  <c r="G26" i="3"/>
  <c r="F26" i="3"/>
  <c r="E26" i="3"/>
  <c r="D26" i="3"/>
  <c r="C26" i="3"/>
  <c r="B26" i="3"/>
  <c r="A26" i="3"/>
  <c r="K25" i="3"/>
  <c r="J25" i="3"/>
  <c r="O25" i="3" s="1"/>
  <c r="P25" i="3" s="1"/>
  <c r="I25" i="3"/>
  <c r="H25" i="3"/>
  <c r="G25" i="3"/>
  <c r="F25" i="3"/>
  <c r="E25" i="3"/>
  <c r="D25" i="3"/>
  <c r="C25" i="3"/>
  <c r="B25" i="3"/>
  <c r="A25" i="3"/>
  <c r="K24" i="3"/>
  <c r="J24" i="3"/>
  <c r="O24" i="3" s="1"/>
  <c r="P24" i="3" s="1"/>
  <c r="I24" i="3"/>
  <c r="H24" i="3"/>
  <c r="G24" i="3"/>
  <c r="F24" i="3"/>
  <c r="E24" i="3"/>
  <c r="D24" i="3"/>
  <c r="C24" i="3"/>
  <c r="B24" i="3"/>
  <c r="A24" i="3"/>
  <c r="K23" i="3"/>
  <c r="J23" i="3"/>
  <c r="O23" i="3" s="1"/>
  <c r="P23" i="3" s="1"/>
  <c r="I23" i="3"/>
  <c r="H23" i="3"/>
  <c r="G23" i="3"/>
  <c r="F23" i="3"/>
  <c r="E23" i="3"/>
  <c r="D23" i="3"/>
  <c r="C23" i="3"/>
  <c r="B23" i="3"/>
  <c r="A23" i="3"/>
  <c r="K22" i="3"/>
  <c r="J22" i="3"/>
  <c r="O22" i="3" s="1"/>
  <c r="P22" i="3" s="1"/>
  <c r="I22" i="3"/>
  <c r="H22" i="3"/>
  <c r="G22" i="3"/>
  <c r="F22" i="3"/>
  <c r="E22" i="3"/>
  <c r="D22" i="3"/>
  <c r="C22" i="3"/>
  <c r="B22" i="3"/>
  <c r="A22" i="3"/>
  <c r="K21" i="3"/>
  <c r="J21" i="3"/>
  <c r="O21" i="3" s="1"/>
  <c r="P21" i="3" s="1"/>
  <c r="I21" i="3"/>
  <c r="H21" i="3"/>
  <c r="G21" i="3"/>
  <c r="F21" i="3"/>
  <c r="E21" i="3"/>
  <c r="D21" i="3"/>
  <c r="C21" i="3"/>
  <c r="B21" i="3"/>
  <c r="A21" i="3"/>
  <c r="K20" i="3"/>
  <c r="J20" i="3"/>
  <c r="O20" i="3" s="1"/>
  <c r="P20" i="3" s="1"/>
  <c r="I20" i="3"/>
  <c r="H20" i="3"/>
  <c r="G20" i="3"/>
  <c r="F20" i="3"/>
  <c r="E20" i="3"/>
  <c r="D20" i="3"/>
  <c r="C20" i="3"/>
  <c r="B20" i="3"/>
  <c r="A20" i="3"/>
  <c r="K19" i="3"/>
  <c r="J19" i="3"/>
  <c r="O19" i="3" s="1"/>
  <c r="P19" i="3" s="1"/>
  <c r="I19" i="3"/>
  <c r="H19" i="3"/>
  <c r="G19" i="3"/>
  <c r="F19" i="3"/>
  <c r="E19" i="3"/>
  <c r="D19" i="3"/>
  <c r="C19" i="3"/>
  <c r="B19" i="3"/>
  <c r="A19" i="3"/>
  <c r="K18" i="3"/>
  <c r="J18" i="3"/>
  <c r="O18" i="3" s="1"/>
  <c r="P18" i="3" s="1"/>
  <c r="I18" i="3"/>
  <c r="H18" i="3"/>
  <c r="G18" i="3"/>
  <c r="F18" i="3"/>
  <c r="E18" i="3"/>
  <c r="D18" i="3"/>
  <c r="C18" i="3"/>
  <c r="B18" i="3"/>
  <c r="A18" i="3"/>
  <c r="K17" i="3"/>
  <c r="J17" i="3"/>
  <c r="O17" i="3" s="1"/>
  <c r="P17" i="3" s="1"/>
  <c r="I17" i="3"/>
  <c r="H17" i="3"/>
  <c r="G17" i="3"/>
  <c r="F17" i="3"/>
  <c r="E17" i="3"/>
  <c r="D17" i="3"/>
  <c r="C17" i="3"/>
  <c r="B17" i="3"/>
  <c r="A17" i="3"/>
  <c r="K16" i="3"/>
  <c r="J16" i="3"/>
  <c r="O16" i="3" s="1"/>
  <c r="P16" i="3" s="1"/>
  <c r="I16" i="3"/>
  <c r="H16" i="3"/>
  <c r="G16" i="3"/>
  <c r="F16" i="3"/>
  <c r="E16" i="3"/>
  <c r="D16" i="3"/>
  <c r="C16" i="3"/>
  <c r="B16" i="3"/>
  <c r="A16" i="3"/>
  <c r="K15" i="3"/>
  <c r="J15" i="3"/>
  <c r="O15" i="3" s="1"/>
  <c r="P15" i="3" s="1"/>
  <c r="I15" i="3"/>
  <c r="H15" i="3"/>
  <c r="G15" i="3"/>
  <c r="F15" i="3"/>
  <c r="E15" i="3"/>
  <c r="D15" i="3"/>
  <c r="C15" i="3"/>
  <c r="B15" i="3"/>
  <c r="A15" i="3"/>
  <c r="K14" i="3"/>
  <c r="J14" i="3"/>
  <c r="O14" i="3" s="1"/>
  <c r="P14" i="3" s="1"/>
  <c r="I14" i="3"/>
  <c r="H14" i="3"/>
  <c r="G14" i="3"/>
  <c r="F14" i="3"/>
  <c r="E14" i="3"/>
  <c r="D14" i="3"/>
  <c r="C14" i="3"/>
  <c r="B14" i="3"/>
  <c r="A14" i="3"/>
  <c r="K13" i="3"/>
  <c r="J13" i="3"/>
  <c r="O13" i="3" s="1"/>
  <c r="P13" i="3" s="1"/>
  <c r="I13" i="3"/>
  <c r="H13" i="3"/>
  <c r="G13" i="3"/>
  <c r="F13" i="3"/>
  <c r="E13" i="3"/>
  <c r="D13" i="3"/>
  <c r="C13" i="3"/>
  <c r="B13" i="3"/>
  <c r="A13" i="3"/>
  <c r="K12" i="3"/>
  <c r="J12" i="3"/>
  <c r="O12" i="3" s="1"/>
  <c r="P12" i="3" s="1"/>
  <c r="I12" i="3"/>
  <c r="H12" i="3"/>
  <c r="G12" i="3"/>
  <c r="F12" i="3"/>
  <c r="E12" i="3"/>
  <c r="D12" i="3"/>
  <c r="C12" i="3"/>
  <c r="B12" i="3"/>
  <c r="A12" i="3"/>
  <c r="K11" i="3"/>
  <c r="J11" i="3"/>
  <c r="O11" i="3" s="1"/>
  <c r="P11" i="3" s="1"/>
  <c r="I11" i="3"/>
  <c r="H11" i="3"/>
  <c r="G11" i="3"/>
  <c r="F11" i="3"/>
  <c r="E11" i="3"/>
  <c r="D11" i="3"/>
  <c r="C11" i="3"/>
  <c r="B11" i="3"/>
  <c r="A11" i="3"/>
  <c r="K10" i="3"/>
  <c r="J10" i="3"/>
  <c r="O10" i="3" s="1"/>
  <c r="P10" i="3" s="1"/>
  <c r="I10" i="3"/>
  <c r="H10" i="3"/>
  <c r="G10" i="3"/>
  <c r="F10" i="3"/>
  <c r="E10" i="3"/>
  <c r="D10" i="3"/>
  <c r="C10" i="3"/>
  <c r="B10" i="3"/>
  <c r="A10" i="3"/>
  <c r="K9" i="3"/>
  <c r="J9" i="3"/>
  <c r="O9" i="3" s="1"/>
  <c r="P9" i="3" s="1"/>
  <c r="I9" i="3"/>
  <c r="H9" i="3"/>
  <c r="G9" i="3"/>
  <c r="F9" i="3"/>
  <c r="E9" i="3"/>
  <c r="D9" i="3"/>
  <c r="C9" i="3"/>
  <c r="B9" i="3"/>
  <c r="A9" i="3"/>
  <c r="K8" i="3"/>
  <c r="J8" i="3"/>
  <c r="O8" i="3" s="1"/>
  <c r="P8" i="3" s="1"/>
  <c r="I8" i="3"/>
  <c r="H8" i="3"/>
  <c r="G8" i="3"/>
  <c r="F8" i="3"/>
  <c r="E8" i="3"/>
  <c r="D8" i="3"/>
  <c r="C8" i="3"/>
  <c r="B8" i="3"/>
  <c r="A8" i="3"/>
  <c r="K7" i="3"/>
  <c r="J7" i="3"/>
  <c r="O7" i="3" s="1"/>
  <c r="P7" i="3" s="1"/>
  <c r="I7" i="3"/>
  <c r="H7" i="3"/>
  <c r="G7" i="3"/>
  <c r="F7" i="3"/>
  <c r="E7" i="3"/>
  <c r="D7" i="3"/>
  <c r="C7" i="3"/>
  <c r="B7" i="3"/>
  <c r="A7" i="3"/>
  <c r="K6" i="3"/>
  <c r="J6" i="3"/>
  <c r="O6" i="3" s="1"/>
  <c r="P6" i="3" s="1"/>
  <c r="I6" i="3"/>
  <c r="H6" i="3"/>
  <c r="G6" i="3"/>
  <c r="F6" i="3"/>
  <c r="E6" i="3"/>
  <c r="D6" i="3"/>
  <c r="C6" i="3"/>
  <c r="B6" i="3"/>
  <c r="A6" i="3"/>
  <c r="K5" i="3"/>
  <c r="J5" i="3"/>
  <c r="O5" i="3" s="1"/>
  <c r="P5" i="3" s="1"/>
  <c r="I5" i="3"/>
  <c r="H5" i="3"/>
  <c r="G5" i="3"/>
  <c r="F5" i="3"/>
  <c r="E5" i="3"/>
  <c r="D5" i="3"/>
  <c r="C5" i="3"/>
  <c r="B5" i="3"/>
  <c r="A5" i="3"/>
  <c r="K4" i="3"/>
  <c r="J4" i="3"/>
  <c r="O4" i="3" s="1"/>
  <c r="P4" i="3" s="1"/>
  <c r="I4" i="3"/>
  <c r="H4" i="3"/>
  <c r="G4" i="3"/>
  <c r="F4" i="3"/>
  <c r="E4" i="3"/>
  <c r="D4" i="3"/>
  <c r="C4" i="3"/>
  <c r="B4" i="3"/>
  <c r="A4" i="3"/>
  <c r="K3" i="3"/>
  <c r="J3" i="3"/>
  <c r="O3" i="3" s="1"/>
  <c r="P3" i="3" s="1"/>
  <c r="I3" i="3"/>
  <c r="H3" i="3"/>
  <c r="G3" i="3"/>
  <c r="F3" i="3"/>
  <c r="E3" i="3"/>
  <c r="D3" i="3"/>
  <c r="C3" i="3"/>
  <c r="B3" i="3"/>
  <c r="A3" i="3"/>
  <c r="K2" i="3"/>
  <c r="J2" i="3"/>
  <c r="O2" i="3" s="1"/>
  <c r="P2" i="3" s="1"/>
  <c r="I2" i="3"/>
  <c r="H2" i="3"/>
  <c r="G2" i="3"/>
  <c r="F2" i="3"/>
  <c r="E2" i="3"/>
  <c r="D2" i="3"/>
  <c r="C2" i="3"/>
  <c r="B2" i="3"/>
  <c r="A2" i="3"/>
  <c r="L81" i="3" l="1"/>
  <c r="N81" i="3"/>
  <c r="M81" i="3"/>
  <c r="Q81" i="3" s="1"/>
  <c r="N80" i="3"/>
  <c r="M80" i="3"/>
  <c r="Q80" i="3" s="1"/>
  <c r="L80" i="3"/>
  <c r="N79" i="3"/>
  <c r="M79" i="3"/>
  <c r="Q79" i="3" s="1"/>
  <c r="L79" i="3"/>
  <c r="L78" i="3"/>
  <c r="N78" i="3"/>
  <c r="M78" i="3"/>
  <c r="Q78" i="3" s="1"/>
  <c r="L77" i="3"/>
  <c r="M77" i="3"/>
  <c r="N77" i="3"/>
  <c r="L76" i="3"/>
  <c r="M76" i="3"/>
  <c r="N76" i="3"/>
  <c r="L75" i="3"/>
  <c r="M75" i="3"/>
  <c r="Q75" i="3" s="1"/>
  <c r="N75" i="3"/>
  <c r="C13" i="4"/>
  <c r="C15" i="4"/>
  <c r="C16" i="4"/>
  <c r="C14" i="4"/>
  <c r="I7" i="4"/>
  <c r="I5" i="4"/>
  <c r="I6" i="4"/>
  <c r="I8" i="4"/>
  <c r="I9" i="4"/>
  <c r="I10" i="4"/>
  <c r="I4" i="4"/>
  <c r="L74" i="3"/>
  <c r="M74" i="3"/>
  <c r="Q74" i="3" s="1"/>
  <c r="N73" i="3"/>
  <c r="M73" i="3"/>
  <c r="Q73" i="3" s="1"/>
  <c r="L73" i="3"/>
  <c r="N72" i="3"/>
  <c r="L72" i="3"/>
  <c r="M72" i="3"/>
  <c r="Q72" i="3" s="1"/>
  <c r="M71" i="3"/>
  <c r="L71" i="3"/>
  <c r="N71" i="3"/>
  <c r="L70" i="3"/>
  <c r="N70" i="3"/>
  <c r="M70" i="3"/>
  <c r="Q70" i="3" s="1"/>
  <c r="N68" i="3"/>
  <c r="M68" i="3"/>
  <c r="Q68" i="3" s="1"/>
  <c r="L68" i="3"/>
  <c r="M67" i="3"/>
  <c r="L67" i="3"/>
  <c r="N67" i="3"/>
  <c r="N66" i="3"/>
  <c r="M66" i="3"/>
  <c r="Q66" i="3" s="1"/>
  <c r="L66" i="3"/>
  <c r="L65" i="3"/>
  <c r="N65" i="3"/>
  <c r="M65" i="3"/>
  <c r="Q65" i="3" s="1"/>
  <c r="N64" i="3"/>
  <c r="M64" i="3"/>
  <c r="Q64" i="3" s="1"/>
  <c r="L64" i="3"/>
  <c r="N63" i="3"/>
  <c r="M63" i="3"/>
  <c r="Q63" i="3" s="1"/>
  <c r="L63" i="3"/>
  <c r="N62" i="3"/>
  <c r="M62" i="3"/>
  <c r="Q62" i="3" s="1"/>
  <c r="L62" i="3"/>
  <c r="M61" i="3"/>
  <c r="L61" i="3"/>
  <c r="N61" i="3"/>
  <c r="N60" i="3"/>
  <c r="L60" i="3"/>
  <c r="M60" i="3"/>
  <c r="Q60" i="3" s="1"/>
  <c r="L59" i="3"/>
  <c r="M59" i="3"/>
  <c r="Q59" i="3" s="1"/>
  <c r="N59" i="3"/>
  <c r="N58" i="3"/>
  <c r="M58" i="3"/>
  <c r="Q58" i="3" s="1"/>
  <c r="L58" i="3"/>
  <c r="N57" i="3"/>
  <c r="M57" i="3"/>
  <c r="Q57" i="3" s="1"/>
  <c r="L57" i="3"/>
  <c r="N56" i="3"/>
  <c r="M56" i="3"/>
  <c r="Q56" i="3" s="1"/>
  <c r="L56" i="3"/>
  <c r="N55" i="3"/>
  <c r="M55" i="3"/>
  <c r="Q55" i="3" s="1"/>
  <c r="L55" i="3"/>
  <c r="L54" i="3"/>
  <c r="M54" i="3"/>
  <c r="N54" i="3"/>
  <c r="M53" i="3"/>
  <c r="L53" i="3"/>
  <c r="N53" i="3"/>
  <c r="N52" i="3"/>
  <c r="M52" i="3"/>
  <c r="Q52" i="3" s="1"/>
  <c r="L52" i="3"/>
  <c r="N51" i="3"/>
  <c r="M51" i="3"/>
  <c r="Q51" i="3" s="1"/>
  <c r="L51" i="3"/>
  <c r="M50" i="3"/>
  <c r="L50" i="3"/>
  <c r="N50" i="3"/>
  <c r="M49" i="3"/>
  <c r="L49" i="3"/>
  <c r="N49" i="3"/>
  <c r="N48" i="3"/>
  <c r="M48" i="3"/>
  <c r="Q48" i="3" s="1"/>
  <c r="L48" i="3"/>
  <c r="L47" i="3"/>
  <c r="N47" i="3"/>
  <c r="M47" i="3"/>
  <c r="Q47" i="3" s="1"/>
  <c r="N46" i="3"/>
  <c r="M46" i="3"/>
  <c r="Q46" i="3" s="1"/>
  <c r="L46" i="3"/>
  <c r="N45" i="3"/>
  <c r="L45" i="3"/>
  <c r="M45" i="3"/>
  <c r="Q45" i="3" s="1"/>
  <c r="M44" i="3"/>
  <c r="L44" i="3"/>
  <c r="N44" i="3"/>
  <c r="N43" i="3"/>
  <c r="M43" i="3"/>
  <c r="Q43" i="3" s="1"/>
  <c r="L43" i="3"/>
  <c r="N42" i="3"/>
  <c r="L42" i="3"/>
  <c r="M42" i="3"/>
  <c r="Q42" i="3" s="1"/>
  <c r="M41" i="3"/>
  <c r="L41" i="3"/>
  <c r="N41" i="3"/>
  <c r="L40" i="3"/>
  <c r="M40" i="3"/>
  <c r="N40" i="3"/>
  <c r="L39" i="3"/>
  <c r="N39" i="3"/>
  <c r="M39" i="3"/>
  <c r="Q39" i="3" s="1"/>
  <c r="N38" i="3"/>
  <c r="M38" i="3"/>
  <c r="Q38" i="3" s="1"/>
  <c r="L38" i="3"/>
  <c r="M37" i="3"/>
  <c r="L37" i="3"/>
  <c r="N37" i="3"/>
  <c r="N36" i="3"/>
  <c r="M36" i="3"/>
  <c r="Q36" i="3" s="1"/>
  <c r="L36" i="3"/>
  <c r="N35" i="3"/>
  <c r="M35" i="3"/>
  <c r="Q35" i="3" s="1"/>
  <c r="L35" i="3"/>
  <c r="L34" i="3"/>
  <c r="M34" i="3"/>
  <c r="N34" i="3"/>
  <c r="M33" i="3"/>
  <c r="L33" i="3"/>
  <c r="N33" i="3"/>
  <c r="N32" i="3"/>
  <c r="M32" i="3"/>
  <c r="Q32" i="3" s="1"/>
  <c r="L32" i="3"/>
  <c r="M31" i="3"/>
  <c r="L31" i="3"/>
  <c r="N31" i="3"/>
  <c r="N30" i="3"/>
  <c r="M30" i="3"/>
  <c r="Q30" i="3" s="1"/>
  <c r="L30" i="3"/>
  <c r="L29" i="3"/>
  <c r="N29" i="3"/>
  <c r="M29" i="3"/>
  <c r="Q29" i="3" s="1"/>
  <c r="M28" i="3"/>
  <c r="L28" i="3"/>
  <c r="N28" i="3"/>
  <c r="N27" i="3"/>
  <c r="M27" i="3"/>
  <c r="Q27" i="3" s="1"/>
  <c r="L27" i="3"/>
  <c r="L26" i="3"/>
  <c r="N26" i="3"/>
  <c r="M26" i="3"/>
  <c r="Q26" i="3" s="1"/>
  <c r="N25" i="3"/>
  <c r="M25" i="3"/>
  <c r="Q25" i="3" s="1"/>
  <c r="L25" i="3"/>
  <c r="N24" i="3"/>
  <c r="M24" i="3"/>
  <c r="Q24" i="3" s="1"/>
  <c r="L24" i="3"/>
  <c r="N23" i="3"/>
  <c r="M23" i="3"/>
  <c r="Q23" i="3" s="1"/>
  <c r="L23" i="3"/>
  <c r="M22" i="3"/>
  <c r="L22" i="3"/>
  <c r="N22" i="3"/>
  <c r="M21" i="3"/>
  <c r="L21" i="3"/>
  <c r="N21" i="3"/>
  <c r="L20" i="3"/>
  <c r="M20" i="3"/>
  <c r="N20" i="3"/>
  <c r="M19" i="3"/>
  <c r="Q19" i="3" s="1"/>
  <c r="L19" i="3"/>
  <c r="N19" i="3"/>
  <c r="L18" i="3"/>
  <c r="M18" i="3"/>
  <c r="N18" i="3"/>
  <c r="L17" i="3"/>
  <c r="M17" i="3"/>
  <c r="N17" i="3"/>
  <c r="N16" i="3"/>
  <c r="M16" i="3"/>
  <c r="Q16" i="3" s="1"/>
  <c r="L16" i="3"/>
  <c r="N15" i="3"/>
  <c r="M15" i="3"/>
  <c r="Q15" i="3" s="1"/>
  <c r="L15" i="3"/>
  <c r="N14" i="3"/>
  <c r="M14" i="3"/>
  <c r="L14" i="3"/>
  <c r="N13" i="3"/>
  <c r="L13" i="3"/>
  <c r="M13" i="3"/>
  <c r="M12" i="3"/>
  <c r="N12" i="3"/>
  <c r="L12" i="3"/>
  <c r="M11" i="3"/>
  <c r="N11" i="3"/>
  <c r="L11" i="3"/>
  <c r="L10" i="3"/>
  <c r="N10" i="3"/>
  <c r="M10" i="3"/>
  <c r="N9" i="3"/>
  <c r="E14" i="4" s="1"/>
  <c r="M9" i="3"/>
  <c r="L9" i="3"/>
  <c r="B14" i="4" s="1"/>
  <c r="M8" i="3"/>
  <c r="L8" i="3"/>
  <c r="N8" i="3"/>
  <c r="N7" i="3"/>
  <c r="M7" i="3"/>
  <c r="L7" i="3"/>
  <c r="L6" i="3"/>
  <c r="N6" i="3"/>
  <c r="M6" i="3"/>
  <c r="N5" i="3"/>
  <c r="M5" i="3"/>
  <c r="Q5" i="3" s="1"/>
  <c r="L5" i="3"/>
  <c r="N4" i="3"/>
  <c r="L4" i="3"/>
  <c r="M4" i="3"/>
  <c r="N3" i="3"/>
  <c r="M3" i="3"/>
  <c r="L3" i="3"/>
  <c r="N2" i="3"/>
  <c r="L2" i="3"/>
  <c r="M2" i="3"/>
  <c r="Q69" i="3"/>
  <c r="B8" i="4"/>
  <c r="Q14" i="3" l="1"/>
  <c r="D15" i="4"/>
  <c r="Q13" i="3"/>
  <c r="J7" i="4"/>
  <c r="Q12" i="3"/>
  <c r="D16" i="4"/>
  <c r="Q11" i="3"/>
  <c r="J5" i="4"/>
  <c r="Q10" i="3"/>
  <c r="J6" i="4"/>
  <c r="Q9" i="3"/>
  <c r="D14" i="4"/>
  <c r="Q7" i="3"/>
  <c r="J10" i="4"/>
  <c r="Q6" i="3"/>
  <c r="D17" i="4"/>
  <c r="Q4" i="3"/>
  <c r="J8" i="4"/>
  <c r="Q3" i="3"/>
  <c r="J4" i="4"/>
  <c r="K9" i="4"/>
  <c r="B7" i="4"/>
  <c r="E13" i="4"/>
  <c r="B4" i="4"/>
  <c r="H9" i="4"/>
  <c r="B13" i="4"/>
  <c r="Q2" i="3"/>
  <c r="B6" i="4"/>
  <c r="J9" i="4"/>
  <c r="D13" i="4"/>
  <c r="Q71" i="3"/>
  <c r="Q67" i="3"/>
  <c r="Q61" i="3"/>
  <c r="Q54" i="3"/>
  <c r="Q53" i="3"/>
  <c r="Q50" i="3"/>
  <c r="Q49" i="3"/>
  <c r="Q44" i="3"/>
  <c r="Q41" i="3"/>
  <c r="Q40" i="3"/>
  <c r="Q37" i="3"/>
  <c r="Q34" i="3"/>
  <c r="Q33" i="3"/>
  <c r="Q31" i="3"/>
  <c r="H5" i="4"/>
  <c r="Q28" i="3"/>
  <c r="Q22" i="3"/>
  <c r="Q21" i="3"/>
  <c r="Q20" i="3"/>
  <c r="Q18" i="3"/>
  <c r="Q17" i="3"/>
  <c r="E15" i="4"/>
  <c r="B15" i="4"/>
  <c r="K7" i="4"/>
  <c r="H7" i="4"/>
  <c r="E16" i="4"/>
  <c r="B16" i="4"/>
  <c r="K5" i="4"/>
  <c r="H6" i="4"/>
  <c r="K6" i="4"/>
  <c r="Q8" i="3"/>
  <c r="K10" i="4"/>
  <c r="H10" i="4"/>
  <c r="B17" i="4"/>
  <c r="E17" i="4"/>
  <c r="K8" i="4"/>
  <c r="H8" i="4"/>
  <c r="K4" i="4"/>
  <c r="H4" i="4"/>
  <c r="Q77" i="3"/>
  <c r="Q76" i="3"/>
</calcChain>
</file>

<file path=xl/sharedStrings.xml><?xml version="1.0" encoding="utf-8"?>
<sst xmlns="http://schemas.openxmlformats.org/spreadsheetml/2006/main" count="568" uniqueCount="246">
  <si>
    <t>Inventory Analysis Workbook</t>
  </si>
  <si>
    <t>Purpose</t>
  </si>
  <si>
    <t>This workbook is a Business Systems Analyst-style Excel proof package. It uses realistic sample inventory data to demonstrate data cleanup, calculated fields, KPI reporting, summary tables, and dashboard reporting.</t>
  </si>
  <si>
    <t>Business Problem</t>
  </si>
  <si>
    <t>Leadership needs visibility into inventory value, low-stock risk, overstock risk, aging inventory, and warehouse/category distribution.</t>
  </si>
  <si>
    <t>Tools / Skills Demonstrated</t>
  </si>
  <si>
    <t>Excel Tables, formulas, SUMIFS, COUNTIFS, XLOOKUP-style logic, data validation, conditional formatting, dashboard layout, audit-style documentation.</t>
  </si>
  <si>
    <t>How to Use</t>
  </si>
  <si>
    <t>Review Raw_Data, then Clean_Data, then Dashboard. The Dashboard summarizes key risks and business findings from the data.</t>
  </si>
  <si>
    <t>Portfolio Note</t>
  </si>
  <si>
    <t>All data is fake but realistic. This workbook is safe for GitHub and can be used in the 01-excel folder of the Business Systems Analyst Portfolio.</t>
  </si>
  <si>
    <t>Item_ID</t>
  </si>
  <si>
    <t>Item_Name</t>
  </si>
  <si>
    <t>Category</t>
  </si>
  <si>
    <t>Warehouse</t>
  </si>
  <si>
    <t>Quantity_On_Hand</t>
  </si>
  <si>
    <t>Reorder_Point</t>
  </si>
  <si>
    <t>Max_Stock_Level</t>
  </si>
  <si>
    <t>Unit_Cost</t>
  </si>
  <si>
    <t>Supplier</t>
  </si>
  <si>
    <t>Last_Receipt_Date</t>
  </si>
  <si>
    <t>Lead_Time_Days</t>
  </si>
  <si>
    <t>PK-1001</t>
  </si>
  <si>
    <t>Shipping Foam A</t>
  </si>
  <si>
    <t>Packaging</t>
  </si>
  <si>
    <t>Dallas</t>
  </si>
  <si>
    <t>Lone Star Industrial</t>
  </si>
  <si>
    <t>EL-1002</t>
  </si>
  <si>
    <t>Circuit Breaker A</t>
  </si>
  <si>
    <t>Electrical</t>
  </si>
  <si>
    <t>Precision Pack &amp; Ship</t>
  </si>
  <si>
    <t>AV-1003</t>
  </si>
  <si>
    <t>Control Relay C</t>
  </si>
  <si>
    <t>Avionics</t>
  </si>
  <si>
    <t>Vector Components</t>
  </si>
  <si>
    <t>EL-1004</t>
  </si>
  <si>
    <t>Wire Harness D</t>
  </si>
  <si>
    <t>AV-1005</t>
  </si>
  <si>
    <t>Sensor Module C</t>
  </si>
  <si>
    <t>San Antonio</t>
  </si>
  <si>
    <t>TL-1006</t>
  </si>
  <si>
    <t>Inspection Gauge B</t>
  </si>
  <si>
    <t>Tools</t>
  </si>
  <si>
    <t>Skyway Parts LLC</t>
  </si>
  <si>
    <t>PK-1007</t>
  </si>
  <si>
    <t>Shipping Foam C</t>
  </si>
  <si>
    <t>PK-1008</t>
  </si>
  <si>
    <t>Crate Insert XL</t>
  </si>
  <si>
    <t>Fort Worth</t>
  </si>
  <si>
    <t>AeroFast Supply Co.</t>
  </si>
  <si>
    <t>HW-1009</t>
  </si>
  <si>
    <t>Titanium Bolt A</t>
  </si>
  <si>
    <t>Hardware</t>
  </si>
  <si>
    <t>DFW Tooling Supply</t>
  </si>
  <si>
    <t>HY-1010</t>
  </si>
  <si>
    <t>Hydraulic Fitting B</t>
  </si>
  <si>
    <t>Hydraulic</t>
  </si>
  <si>
    <t>HY-1011</t>
  </si>
  <si>
    <t>Hydraulic Fitting XL</t>
  </si>
  <si>
    <t>Houston</t>
  </si>
  <si>
    <t>CH-1012</t>
  </si>
  <si>
    <t>Solvent Cleaner D</t>
  </si>
  <si>
    <t>Chemical</t>
  </si>
  <si>
    <t>TL-1013</t>
  </si>
  <si>
    <t>Torque Wrench C</t>
  </si>
  <si>
    <t>Austin</t>
  </si>
  <si>
    <t>Northline Chemicals</t>
  </si>
  <si>
    <t>HY-1014</t>
  </si>
  <si>
    <t>Metro Hardware Group</t>
  </si>
  <si>
    <t>HY-1015</t>
  </si>
  <si>
    <t>HY-1016</t>
  </si>
  <si>
    <t>O-Ring Seal XL</t>
  </si>
  <si>
    <t>CH-1017</t>
  </si>
  <si>
    <t>Primer Coating XL</t>
  </si>
  <si>
    <t>PK-1018</t>
  </si>
  <si>
    <t>Shipping Foam STD</t>
  </si>
  <si>
    <t>HY-1019</t>
  </si>
  <si>
    <t>AV-1020</t>
  </si>
  <si>
    <t>Sensor Module B</t>
  </si>
  <si>
    <t>CH-1021</t>
  </si>
  <si>
    <t>Primer Coating D</t>
  </si>
  <si>
    <t>PK-1022</t>
  </si>
  <si>
    <t>HY-1023</t>
  </si>
  <si>
    <t>Hydraulic Fitting D</t>
  </si>
  <si>
    <t>AV-1024</t>
  </si>
  <si>
    <t>Sensor Module A</t>
  </si>
  <si>
    <t>CH-1025</t>
  </si>
  <si>
    <t>Solvent Cleaner A</t>
  </si>
  <si>
    <t>HW-1026</t>
  </si>
  <si>
    <t>Titanium Bolt B</t>
  </si>
  <si>
    <t>AV-1027</t>
  </si>
  <si>
    <t>AV-1028</t>
  </si>
  <si>
    <t>Control Relay B</t>
  </si>
  <si>
    <t>PK-1029</t>
  </si>
  <si>
    <t>AV-1030</t>
  </si>
  <si>
    <t>Control Relay XL</t>
  </si>
  <si>
    <t>HW-1031</t>
  </si>
  <si>
    <t>HY-1032</t>
  </si>
  <si>
    <t>Hydraulic Fitting C</t>
  </si>
  <si>
    <t>PK-1033</t>
  </si>
  <si>
    <t>EL-1034</t>
  </si>
  <si>
    <t>Circuit Breaker C</t>
  </si>
  <si>
    <t>EL-1035</t>
  </si>
  <si>
    <t>Wire Harness A</t>
  </si>
  <si>
    <t>HW-1036</t>
  </si>
  <si>
    <t>Titanium Bolt C</t>
  </si>
  <si>
    <t>HY-1037</t>
  </si>
  <si>
    <t>PK-1038</t>
  </si>
  <si>
    <t>HY-1039</t>
  </si>
  <si>
    <t>O-Ring Seal D</t>
  </si>
  <si>
    <t>HW-1040</t>
  </si>
  <si>
    <t>HW-1041</t>
  </si>
  <si>
    <t>HY-1042</t>
  </si>
  <si>
    <t>O-Ring Seal C</t>
  </si>
  <si>
    <t>EL-1043</t>
  </si>
  <si>
    <t>Wire Harness STD</t>
  </si>
  <si>
    <t>PK-1044</t>
  </si>
  <si>
    <t>Shipping Foam D</t>
  </si>
  <si>
    <t>HY-1045</t>
  </si>
  <si>
    <t>AV-1046</t>
  </si>
  <si>
    <t>HW-1047</t>
  </si>
  <si>
    <t>Titanium Bolt XL</t>
  </si>
  <si>
    <t>HY-1048</t>
  </si>
  <si>
    <t>O-Ring Seal B</t>
  </si>
  <si>
    <t>PK-1049</t>
  </si>
  <si>
    <t>Shipping Foam XL</t>
  </si>
  <si>
    <t>CH-1050</t>
  </si>
  <si>
    <t>Solvent Cleaner B</t>
  </si>
  <si>
    <t>TL-1051</t>
  </si>
  <si>
    <t>Torque Wrench D</t>
  </si>
  <si>
    <t>HY-1052</t>
  </si>
  <si>
    <t>Hydraulic Fitting STD</t>
  </si>
  <si>
    <t>HW-1053</t>
  </si>
  <si>
    <t>Titanium Bolt D</t>
  </si>
  <si>
    <t>HY-1054</t>
  </si>
  <si>
    <t>HY-1055</t>
  </si>
  <si>
    <t>HW-1056</t>
  </si>
  <si>
    <t>PK-1057</t>
  </si>
  <si>
    <t>AV-1058</t>
  </si>
  <si>
    <t>Control Relay STD</t>
  </si>
  <si>
    <t>HY-1059</t>
  </si>
  <si>
    <t>PK-1060</t>
  </si>
  <si>
    <t>EL-1061</t>
  </si>
  <si>
    <t>Circuit Breaker XL</t>
  </si>
  <si>
    <t>HW-1062</t>
  </si>
  <si>
    <t>HW-1063</t>
  </si>
  <si>
    <t>TL-1064</t>
  </si>
  <si>
    <t>PK-1065</t>
  </si>
  <si>
    <t>PK-1066</t>
  </si>
  <si>
    <t>TL-1067</t>
  </si>
  <si>
    <t>Inspection Gauge STD</t>
  </si>
  <si>
    <t>CH-1068</t>
  </si>
  <si>
    <t>HW-1069</t>
  </si>
  <si>
    <t>Washer Kit C</t>
  </si>
  <si>
    <t>CH-1070</t>
  </si>
  <si>
    <t>HY-1071</t>
  </si>
  <si>
    <t>CH-1072</t>
  </si>
  <si>
    <t>Primer Coating C</t>
  </si>
  <si>
    <t>PK-1073</t>
  </si>
  <si>
    <t>Crate Insert D</t>
  </si>
  <si>
    <t>EL-1074</t>
  </si>
  <si>
    <t>Circuit Breaker STD</t>
  </si>
  <si>
    <t>TL-1075</t>
  </si>
  <si>
    <t>HW-1076</t>
  </si>
  <si>
    <t>TL-1077</t>
  </si>
  <si>
    <t>Torque Wrench XL</t>
  </si>
  <si>
    <t>CH-1078</t>
  </si>
  <si>
    <t>HY-1079</t>
  </si>
  <si>
    <t>AV-1080</t>
  </si>
  <si>
    <t>Control Relay D</t>
  </si>
  <si>
    <t>Inventory_Value</t>
  </si>
  <si>
    <t>Reorder_Status</t>
  </si>
  <si>
    <t>Overstock_Status</t>
  </si>
  <si>
    <t>Days_Since_Receipt</t>
  </si>
  <si>
    <t>Aging_Bucket</t>
  </si>
  <si>
    <t>Risk_Flag</t>
  </si>
  <si>
    <t>Inventory Analysis Dashboard</t>
  </si>
  <si>
    <t>KPI</t>
  </si>
  <si>
    <t>Value</t>
  </si>
  <si>
    <t>Inventory Value</t>
  </si>
  <si>
    <t>SKU Count</t>
  </si>
  <si>
    <t>Low Stock</t>
  </si>
  <si>
    <t>Overstock</t>
  </si>
  <si>
    <t>Total Inventory Value</t>
  </si>
  <si>
    <t>Total SKUs</t>
  </si>
  <si>
    <t>Low-Stock Items</t>
  </si>
  <si>
    <t>Overstock Items</t>
  </si>
  <si>
    <t>Aging Risk Items (90+ days)</t>
  </si>
  <si>
    <t>Average Lead Time</t>
  </si>
  <si>
    <t>Findings / Interview Talking Points</t>
  </si>
  <si>
    <t>1</t>
  </si>
  <si>
    <t>Identify which warehouse carries the highest inventory value.</t>
  </si>
  <si>
    <t>2</t>
  </si>
  <si>
    <t>Review low-stock items to prevent stockouts and production delays.</t>
  </si>
  <si>
    <t>3</t>
  </si>
  <si>
    <t>Review overstock items for excess working capital tied up in inventory.</t>
  </si>
  <si>
    <t>4</t>
  </si>
  <si>
    <t>Use aging inventory to flag items that may need disposition, recertification, or demand review.</t>
  </si>
  <si>
    <t>Data Dictionary</t>
  </si>
  <si>
    <t>Field</t>
  </si>
  <si>
    <t>Description</t>
  </si>
  <si>
    <t>Source / Logic</t>
  </si>
  <si>
    <t>Business Use</t>
  </si>
  <si>
    <t>Unique sample inventory item identifier</t>
  </si>
  <si>
    <t>Raw sample data</t>
  </si>
  <si>
    <t>Track SKU/item-level inventory</t>
  </si>
  <si>
    <t>Readable item description</t>
  </si>
  <si>
    <t>Business-friendly item lookup</t>
  </si>
  <si>
    <t>Inventory category</t>
  </si>
  <si>
    <t>Category-level reporting</t>
  </si>
  <si>
    <t>Location carrying the item</t>
  </si>
  <si>
    <t>Warehouse reporting and accountability</t>
  </si>
  <si>
    <t>Units currently available</t>
  </si>
  <si>
    <t>Stockout and inventory value analysis</t>
  </si>
  <si>
    <t>Minimum desired stock level</t>
  </si>
  <si>
    <t>Triggers low-stock review</t>
  </si>
  <si>
    <t>Maximum desired stock level</t>
  </si>
  <si>
    <t>Identifies overstock risk</t>
  </si>
  <si>
    <t>Cost per unit</t>
  </si>
  <si>
    <t>Calculates inventory value</t>
  </si>
  <si>
    <t>Quantity_On_Hand multiplied by Unit_Cost</t>
  </si>
  <si>
    <t>=E*H</t>
  </si>
  <si>
    <t>Executive KPI and working-capital analysis</t>
  </si>
  <si>
    <t>Flags item when quantity is at/below reorder point</t>
  </si>
  <si>
    <t>=IF(Qty&lt;=Reorder_Point,"Reorder Needed","OK")</t>
  </si>
  <si>
    <t>Stockout prevention</t>
  </si>
  <si>
    <t>Flags item when quantity exceeds max stock level</t>
  </si>
  <si>
    <t>=IF(Qty&gt;Max_Stock_Level,"Overstock","OK")</t>
  </si>
  <si>
    <t>Excess inventory reduction</t>
  </si>
  <si>
    <t>Buckets days since last receipt</t>
  </si>
  <si>
    <t>Based on TODAY()-Last_Receipt_Date</t>
  </si>
  <si>
    <t>Aging inventory risk review</t>
  </si>
  <si>
    <t>Business-friendly risk label</t>
  </si>
  <si>
    <t>Low Stock / Overstock / Aging Risk / OK</t>
  </si>
  <si>
    <t>Dashboard and management action</t>
  </si>
  <si>
    <t>Categories</t>
  </si>
  <si>
    <t>Warehouses</t>
  </si>
  <si>
    <t>Suppliers</t>
  </si>
  <si>
    <t>Reorder Status</t>
  </si>
  <si>
    <t>Aging Buckets</t>
  </si>
  <si>
    <t>OK</t>
  </si>
  <si>
    <t>0-30 days</t>
  </si>
  <si>
    <t>Reorder Needed</t>
  </si>
  <si>
    <t>31-60 days</t>
  </si>
  <si>
    <t>61-90 days</t>
  </si>
  <si>
    <t>90+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</si>
</sst>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yyyy\-mm\-dd"/>
    <numFmt numFmtId="166" formatCode="0.0"/>
  </numFmts>
  <fonts count="7">
    <font>
      <sz val="11"/>
      <name val="Carlito"/>
    </font>
    <font>
      <b/>
      <sz val="11"/>
      <color rgb="FFFFFFFF"/>
      <name val="Carlito"/>
    </font>
    <font>
      <sz val="11"/>
      <color rgb="FF111827"/>
      <name val="Carlito"/>
    </font>
    <font>
      <b/>
      <sz val="11"/>
      <color rgb="FF111827"/>
      <name val="Carlito"/>
    </font>
    <font>
      <b/>
      <sz val="11"/>
      <name val="Carlito"/>
    </font>
    <font>
      <b/>
      <sz val="11"/>
      <color rgb="FFFFFFFF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F9FAFB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" fontId="0" fillId="0" borderId="0" xfId="0" applyNumberFormat="1"/>
    <xf numFmtId="0" fontId="3" fillId="6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right"/>
    </xf>
    <xf numFmtId="1" fontId="4" fillId="5" borderId="0" xfId="0" applyNumberFormat="1" applyFont="1" applyFill="1" applyAlignment="1">
      <alignment horizontal="right"/>
    </xf>
    <xf numFmtId="166" fontId="4" fillId="5" borderId="0" xfId="0" applyNumberFormat="1" applyFont="1" applyFill="1" applyAlignment="1">
      <alignment horizontal="right"/>
    </xf>
    <xf numFmtId="0" fontId="6" fillId="0" borderId="0" xfId="0" applyFont="1"/>
    <xf numFmtId="0" fontId="5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8"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92400E"/>
      </font>
      <fill>
        <patternFill patternType="solid">
          <bgColor rgb="FFFDE68A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Inventory Value</c:v>
          </c:tx>
          <c:invertIfNegative val="1"/>
          <c:cat>
            <c:strRef>
              <c:f>Dashboard!$A$13:$A$17</c:f>
              <c:strCache>
                <c:ptCount val="5"/>
                <c:pt idx="0">
                  <c:v>Dallas</c:v>
                </c:pt>
                <c:pt idx="1">
                  <c:v>Fort Worth</c:v>
                </c:pt>
                <c:pt idx="2">
                  <c:v>Austin</c:v>
                </c:pt>
                <c:pt idx="3">
                  <c:v>Houston</c:v>
                </c:pt>
                <c:pt idx="4">
                  <c:v>San Antonio</c:v>
                </c:pt>
              </c:strCache>
            </c:strRef>
          </c:cat>
          <c:val>
            <c:numRef>
              <c:f>Dashboard!$B$13:$B$17</c:f>
              <c:numCache>
                <c:formatCode>\$#,##0.00</c:formatCode>
                <c:ptCount val="5"/>
                <c:pt idx="0">
                  <c:v>1300802.3600000001</c:v>
                </c:pt>
                <c:pt idx="1">
                  <c:v>659405.98</c:v>
                </c:pt>
                <c:pt idx="2">
                  <c:v>1112833.2599999998</c:v>
                </c:pt>
                <c:pt idx="3">
                  <c:v>781597.37999999989</c:v>
                </c:pt>
                <c:pt idx="4">
                  <c:v>1148723.6500000001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3-4F4A-B57D-8DDA440B0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SKU Count</c:v>
          </c:tx>
          <c:invertIfNegative val="1"/>
          <c:cat>
            <c:strRef>
              <c:f>Dashboard!$G$4:$G$10</c:f>
              <c:strCache>
                <c:ptCount val="7"/>
                <c:pt idx="0">
                  <c:v>Electrical</c:v>
                </c:pt>
                <c:pt idx="1">
                  <c:v>Hydraulic</c:v>
                </c:pt>
                <c:pt idx="2">
                  <c:v>Hardware</c:v>
                </c:pt>
                <c:pt idx="3">
                  <c:v>Chemical</c:v>
                </c:pt>
                <c:pt idx="4">
                  <c:v>Avionics</c:v>
                </c:pt>
                <c:pt idx="5">
                  <c:v>Packaging</c:v>
                </c:pt>
                <c:pt idx="6">
                  <c:v>Tools</c:v>
                </c:pt>
              </c:strCache>
            </c:strRef>
          </c:cat>
          <c:val>
            <c:numRef>
              <c:f>Dashboard!$I$4:$I$10</c:f>
              <c:numCache>
                <c:formatCode>0</c:formatCode>
                <c:ptCount val="7"/>
                <c:pt idx="0">
                  <c:v>7</c:v>
                </c:pt>
                <c:pt idx="1">
                  <c:v>19</c:v>
                </c:pt>
                <c:pt idx="2">
                  <c:v>13</c:v>
                </c:pt>
                <c:pt idx="3">
                  <c:v>9</c:v>
                </c:pt>
                <c:pt idx="4">
                  <c:v>10</c:v>
                </c:pt>
                <c:pt idx="5">
                  <c:v>15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0-475A-B7F0-692D7B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5</xdr:col>
      <xdr:colOff>0</xdr:colOff>
      <xdr:row>35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11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InventoryTable" displayName="RawInventoryTable" ref="A1:K81">
  <tableColumns count="11">
    <tableColumn id="1" xr3:uid="{00000000-0010-0000-0000-000001000000}" name="Item_ID"/>
    <tableColumn id="2" xr3:uid="{00000000-0010-0000-0000-000002000000}" name="Item_Name"/>
    <tableColumn id="3" xr3:uid="{00000000-0010-0000-0000-000003000000}" name="Category"/>
    <tableColumn id="4" xr3:uid="{00000000-0010-0000-0000-000004000000}" name="Warehouse"/>
    <tableColumn id="5" xr3:uid="{00000000-0010-0000-0000-000005000000}" name="Quantity_On_Hand"/>
    <tableColumn id="6" xr3:uid="{00000000-0010-0000-0000-000006000000}" name="Reorder_Point"/>
    <tableColumn id="7" xr3:uid="{00000000-0010-0000-0000-000007000000}" name="Max_Stock_Level"/>
    <tableColumn id="8" xr3:uid="{00000000-0010-0000-0000-000008000000}" name="Unit_Cost"/>
    <tableColumn id="9" xr3:uid="{00000000-0010-0000-0000-000009000000}" name="Supplier"/>
    <tableColumn id="10" xr3:uid="{00000000-0010-0000-0000-00000A000000}" name="Last_Receipt_Date"/>
    <tableColumn id="11" xr3:uid="{00000000-0010-0000-0000-00000B000000}" name="Lead_Time_Day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InventoryTable" displayName="CleanInventoryTable" ref="A1:Q81">
  <tableColumns count="17">
    <tableColumn id="1" xr3:uid="{00000000-0010-0000-0100-000001000000}" name="Item_ID"/>
    <tableColumn id="2" xr3:uid="{00000000-0010-0000-0100-000002000000}" name="Item_Name"/>
    <tableColumn id="3" xr3:uid="{00000000-0010-0000-0100-000003000000}" name="Category"/>
    <tableColumn id="4" xr3:uid="{00000000-0010-0000-0100-000004000000}" name="Warehouse"/>
    <tableColumn id="5" xr3:uid="{00000000-0010-0000-0100-000005000000}" name="Quantity_On_Hand"/>
    <tableColumn id="6" xr3:uid="{00000000-0010-0000-0100-000006000000}" name="Reorder_Point"/>
    <tableColumn id="7" xr3:uid="{00000000-0010-0000-0100-000007000000}" name="Max_Stock_Level"/>
    <tableColumn id="8" xr3:uid="{00000000-0010-0000-0100-000008000000}" name="Unit_Cost"/>
    <tableColumn id="9" xr3:uid="{00000000-0010-0000-0100-000009000000}" name="Supplier"/>
    <tableColumn id="10" xr3:uid="{00000000-0010-0000-0100-00000A000000}" name="Last_Receipt_Date"/>
    <tableColumn id="11" xr3:uid="{00000000-0010-0000-0100-00000B000000}" name="Lead_Time_Days"/>
    <tableColumn id="12" xr3:uid="{00000000-0010-0000-0100-00000C000000}" name="Inventory_Value"/>
    <tableColumn id="13" xr3:uid="{00000000-0010-0000-0100-00000D000000}" name="Reorder_Status"/>
    <tableColumn id="14" xr3:uid="{00000000-0010-0000-0100-00000E000000}" name="Overstock_Status"/>
    <tableColumn id="15" xr3:uid="{00000000-0010-0000-0100-00000F000000}" name="Days_Since_Receipt"/>
    <tableColumn id="16" xr3:uid="{00000000-0010-0000-0100-000010000000}" name="Aging_Bucket"/>
    <tableColumn id="17" xr3:uid="{00000000-0010-0000-0100-000011000000}" name="Risk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workbookViewId="0">
      <selection sqref="A1:H1"/>
    </sheetView>
  </sheetViews>
  <sheetFormatPr defaultRowHeight="14.25"/>
  <cols>
    <col min="1" max="1" width="24" customWidth="1"/>
    <col min="2" max="2" width="96" customWidth="1"/>
  </cols>
  <sheetData>
    <row r="1" spans="1:17" ht="27.95" customHeight="1">
      <c r="A1" s="14" t="s">
        <v>0</v>
      </c>
      <c r="B1" s="14"/>
      <c r="C1" s="14"/>
      <c r="D1" s="14"/>
      <c r="E1" s="14"/>
      <c r="F1" s="14"/>
      <c r="G1" s="14"/>
      <c r="H1" s="14"/>
      <c r="I1" s="12"/>
      <c r="J1" s="12"/>
      <c r="K1" s="12"/>
      <c r="L1" s="12"/>
      <c r="M1" s="12"/>
      <c r="N1" s="12"/>
      <c r="O1" s="12"/>
      <c r="P1" s="12"/>
      <c r="Q1" s="12"/>
    </row>
    <row r="3" spans="1:17" ht="48" customHeight="1">
      <c r="A3" s="2" t="s">
        <v>1</v>
      </c>
      <c r="B3" s="3" t="s">
        <v>2</v>
      </c>
    </row>
    <row r="4" spans="1:17" ht="48" customHeight="1">
      <c r="A4" s="2" t="s">
        <v>3</v>
      </c>
      <c r="B4" s="3" t="s">
        <v>4</v>
      </c>
    </row>
    <row r="5" spans="1:17" ht="48" customHeight="1">
      <c r="A5" s="2" t="s">
        <v>5</v>
      </c>
      <c r="B5" s="3" t="s">
        <v>6</v>
      </c>
    </row>
    <row r="6" spans="1:17" ht="48" customHeight="1">
      <c r="A6" s="2" t="s">
        <v>7</v>
      </c>
      <c r="B6" s="3" t="s">
        <v>8</v>
      </c>
    </row>
    <row r="7" spans="1:17" ht="48" customHeight="1">
      <c r="A7" s="2" t="s">
        <v>9</v>
      </c>
      <c r="B7" s="3" t="s">
        <v>10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1"/>
  <sheetViews>
    <sheetView workbookViewId="0"/>
  </sheetViews>
  <sheetFormatPr defaultRowHeight="14.25"/>
  <cols>
    <col min="1" max="1" width="20" customWidth="1"/>
    <col min="2" max="2" width="26" customWidth="1"/>
    <col min="3" max="4" width="20" customWidth="1"/>
    <col min="5" max="5" width="15.375" customWidth="1"/>
    <col min="6" max="6" width="11.5" customWidth="1"/>
    <col min="7" max="7" width="13.75" customWidth="1"/>
    <col min="8" max="8" width="8" customWidth="1"/>
    <col min="9" max="9" width="20" customWidth="1"/>
    <col min="10" max="10" width="14.625" customWidth="1"/>
    <col min="11" max="11" width="13.375" customWidth="1"/>
  </cols>
  <sheetData>
    <row r="1" spans="1:17" ht="30">
      <c r="A1" s="13" t="s">
        <v>11</v>
      </c>
      <c r="B1" s="13" t="s">
        <v>12</v>
      </c>
      <c r="C1" s="13" t="s">
        <v>13</v>
      </c>
      <c r="D1" s="13" t="s">
        <v>14</v>
      </c>
      <c r="E1" s="13" t="s">
        <v>15</v>
      </c>
      <c r="F1" s="13" t="s">
        <v>16</v>
      </c>
      <c r="G1" s="13" t="s">
        <v>17</v>
      </c>
      <c r="H1" s="13" t="s">
        <v>18</v>
      </c>
      <c r="I1" s="13" t="s">
        <v>19</v>
      </c>
      <c r="J1" s="13" t="s">
        <v>20</v>
      </c>
      <c r="K1" s="13" t="s">
        <v>21</v>
      </c>
      <c r="L1" s="12"/>
      <c r="M1" s="12"/>
      <c r="N1" s="12"/>
      <c r="O1" s="12"/>
      <c r="P1" s="12"/>
      <c r="Q1" s="12"/>
    </row>
    <row r="2" spans="1:17">
      <c r="A2" t="s">
        <v>22</v>
      </c>
      <c r="B2" t="s">
        <v>23</v>
      </c>
      <c r="C2" t="s">
        <v>24</v>
      </c>
      <c r="D2" t="s">
        <v>25</v>
      </c>
      <c r="E2" s="6">
        <v>411</v>
      </c>
      <c r="F2" s="6">
        <v>75</v>
      </c>
      <c r="G2" s="6">
        <v>375</v>
      </c>
      <c r="H2" s="4">
        <v>700.31</v>
      </c>
      <c r="I2" t="s">
        <v>26</v>
      </c>
      <c r="J2" s="5">
        <v>46051</v>
      </c>
      <c r="K2" s="6">
        <v>21</v>
      </c>
    </row>
    <row r="3" spans="1:17">
      <c r="A3" t="s">
        <v>27</v>
      </c>
      <c r="B3" t="s">
        <v>28</v>
      </c>
      <c r="C3" t="s">
        <v>29</v>
      </c>
      <c r="D3" t="s">
        <v>25</v>
      </c>
      <c r="E3" s="6">
        <v>22</v>
      </c>
      <c r="F3" s="6">
        <v>20</v>
      </c>
      <c r="G3" s="6">
        <v>80</v>
      </c>
      <c r="H3" s="4">
        <v>534.28</v>
      </c>
      <c r="I3" t="s">
        <v>30</v>
      </c>
      <c r="J3" s="5">
        <v>46146</v>
      </c>
      <c r="K3" s="6">
        <v>21</v>
      </c>
    </row>
    <row r="4" spans="1:17">
      <c r="A4" t="s">
        <v>31</v>
      </c>
      <c r="B4" t="s">
        <v>32</v>
      </c>
      <c r="C4" t="s">
        <v>33</v>
      </c>
      <c r="D4" t="s">
        <v>25</v>
      </c>
      <c r="E4" s="6">
        <v>275</v>
      </c>
      <c r="F4" s="6">
        <v>100</v>
      </c>
      <c r="G4" s="6">
        <v>400</v>
      </c>
      <c r="H4" s="4">
        <v>265.77999999999997</v>
      </c>
      <c r="I4" t="s">
        <v>34</v>
      </c>
      <c r="J4" s="5">
        <v>46116</v>
      </c>
      <c r="K4" s="6">
        <v>7</v>
      </c>
    </row>
    <row r="5" spans="1:17">
      <c r="A5" t="s">
        <v>35</v>
      </c>
      <c r="B5" t="s">
        <v>36</v>
      </c>
      <c r="C5" t="s">
        <v>29</v>
      </c>
      <c r="D5" t="s">
        <v>25</v>
      </c>
      <c r="E5" s="6">
        <v>31</v>
      </c>
      <c r="F5" s="6">
        <v>25</v>
      </c>
      <c r="G5" s="6">
        <v>125</v>
      </c>
      <c r="H5" s="4">
        <v>693.92</v>
      </c>
      <c r="I5" t="s">
        <v>26</v>
      </c>
      <c r="J5" s="5">
        <v>46106</v>
      </c>
      <c r="K5" s="6">
        <v>7</v>
      </c>
    </row>
    <row r="6" spans="1:17">
      <c r="A6" t="s">
        <v>37</v>
      </c>
      <c r="B6" t="s">
        <v>38</v>
      </c>
      <c r="C6" t="s">
        <v>33</v>
      </c>
      <c r="D6" t="s">
        <v>39</v>
      </c>
      <c r="E6" s="6">
        <v>461</v>
      </c>
      <c r="F6" s="6">
        <v>100</v>
      </c>
      <c r="G6" s="6">
        <v>500</v>
      </c>
      <c r="H6" s="4">
        <v>68.400000000000006</v>
      </c>
      <c r="I6" t="s">
        <v>34</v>
      </c>
      <c r="J6" s="5">
        <v>46128</v>
      </c>
      <c r="K6" s="6">
        <v>7</v>
      </c>
    </row>
    <row r="7" spans="1:17">
      <c r="A7" t="s">
        <v>40</v>
      </c>
      <c r="B7" t="s">
        <v>41</v>
      </c>
      <c r="C7" t="s">
        <v>42</v>
      </c>
      <c r="D7" t="s">
        <v>25</v>
      </c>
      <c r="E7" s="6">
        <v>137</v>
      </c>
      <c r="F7" s="6">
        <v>30</v>
      </c>
      <c r="G7" s="6">
        <v>150</v>
      </c>
      <c r="H7" s="4">
        <v>348.18</v>
      </c>
      <c r="I7" t="s">
        <v>43</v>
      </c>
      <c r="J7" s="5">
        <v>46112</v>
      </c>
      <c r="K7" s="6">
        <v>10</v>
      </c>
    </row>
    <row r="8" spans="1:17">
      <c r="A8" t="s">
        <v>44</v>
      </c>
      <c r="B8" t="s">
        <v>45</v>
      </c>
      <c r="C8" t="s">
        <v>24</v>
      </c>
      <c r="D8" t="s">
        <v>25</v>
      </c>
      <c r="E8" s="6">
        <v>113</v>
      </c>
      <c r="F8" s="6">
        <v>50</v>
      </c>
      <c r="G8" s="6">
        <v>200</v>
      </c>
      <c r="H8" s="4">
        <v>157.32</v>
      </c>
      <c r="I8" t="s">
        <v>30</v>
      </c>
      <c r="J8" s="5">
        <v>46133</v>
      </c>
      <c r="K8" s="6">
        <v>45</v>
      </c>
    </row>
    <row r="9" spans="1:17">
      <c r="A9" t="s">
        <v>46</v>
      </c>
      <c r="B9" t="s">
        <v>47</v>
      </c>
      <c r="C9" t="s">
        <v>24</v>
      </c>
      <c r="D9" t="s">
        <v>48</v>
      </c>
      <c r="E9" s="6">
        <v>104</v>
      </c>
      <c r="F9" s="6">
        <v>75</v>
      </c>
      <c r="G9" s="6">
        <v>375</v>
      </c>
      <c r="H9" s="4">
        <v>219.52</v>
      </c>
      <c r="I9" t="s">
        <v>49</v>
      </c>
      <c r="J9" s="5">
        <v>46122</v>
      </c>
      <c r="K9" s="6">
        <v>21</v>
      </c>
    </row>
    <row r="10" spans="1:17">
      <c r="A10" t="s">
        <v>50</v>
      </c>
      <c r="B10" t="s">
        <v>51</v>
      </c>
      <c r="C10" t="s">
        <v>52</v>
      </c>
      <c r="D10" t="s">
        <v>48</v>
      </c>
      <c r="E10" s="6">
        <v>378</v>
      </c>
      <c r="F10" s="6">
        <v>50</v>
      </c>
      <c r="G10" s="6">
        <v>250</v>
      </c>
      <c r="H10" s="4">
        <v>377.36</v>
      </c>
      <c r="I10" t="s">
        <v>53</v>
      </c>
      <c r="J10" s="5">
        <v>46166</v>
      </c>
      <c r="K10" s="6">
        <v>14</v>
      </c>
    </row>
    <row r="11" spans="1:17">
      <c r="A11" t="s">
        <v>54</v>
      </c>
      <c r="B11" t="s">
        <v>55</v>
      </c>
      <c r="C11" t="s">
        <v>56</v>
      </c>
      <c r="D11" t="s">
        <v>39</v>
      </c>
      <c r="E11" s="6">
        <v>160</v>
      </c>
      <c r="F11" s="6">
        <v>50</v>
      </c>
      <c r="G11" s="6">
        <v>250</v>
      </c>
      <c r="H11" s="4">
        <v>853.19</v>
      </c>
      <c r="I11" t="s">
        <v>30</v>
      </c>
      <c r="J11" s="5">
        <v>46110</v>
      </c>
      <c r="K11" s="6">
        <v>10</v>
      </c>
    </row>
    <row r="12" spans="1:17">
      <c r="A12" t="s">
        <v>57</v>
      </c>
      <c r="B12" t="s">
        <v>58</v>
      </c>
      <c r="C12" t="s">
        <v>56</v>
      </c>
      <c r="D12" t="s">
        <v>59</v>
      </c>
      <c r="E12" s="6">
        <v>15</v>
      </c>
      <c r="F12" s="6">
        <v>10</v>
      </c>
      <c r="G12" s="6">
        <v>30</v>
      </c>
      <c r="H12" s="4">
        <v>597.01</v>
      </c>
      <c r="I12" t="s">
        <v>30</v>
      </c>
      <c r="J12" s="5">
        <v>46050</v>
      </c>
      <c r="K12" s="6">
        <v>7</v>
      </c>
    </row>
    <row r="13" spans="1:17">
      <c r="A13" t="s">
        <v>60</v>
      </c>
      <c r="B13" t="s">
        <v>61</v>
      </c>
      <c r="C13" t="s">
        <v>62</v>
      </c>
      <c r="D13" t="s">
        <v>39</v>
      </c>
      <c r="E13" s="6">
        <v>141</v>
      </c>
      <c r="F13" s="6">
        <v>30</v>
      </c>
      <c r="G13" s="6">
        <v>150</v>
      </c>
      <c r="H13" s="4">
        <v>895.45</v>
      </c>
      <c r="I13" t="s">
        <v>26</v>
      </c>
      <c r="J13" s="5">
        <v>46028</v>
      </c>
      <c r="K13" s="6">
        <v>30</v>
      </c>
    </row>
    <row r="14" spans="1:17">
      <c r="A14" t="s">
        <v>63</v>
      </c>
      <c r="B14" t="s">
        <v>64</v>
      </c>
      <c r="C14" t="s">
        <v>42</v>
      </c>
      <c r="D14" t="s">
        <v>65</v>
      </c>
      <c r="E14" s="6">
        <v>40</v>
      </c>
      <c r="F14" s="6">
        <v>10</v>
      </c>
      <c r="G14" s="6">
        <v>50</v>
      </c>
      <c r="H14" s="4">
        <v>5.57</v>
      </c>
      <c r="I14" t="s">
        <v>66</v>
      </c>
      <c r="J14" s="5">
        <v>46074</v>
      </c>
      <c r="K14" s="6">
        <v>60</v>
      </c>
    </row>
    <row r="15" spans="1:17">
      <c r="A15" t="s">
        <v>67</v>
      </c>
      <c r="B15" t="s">
        <v>58</v>
      </c>
      <c r="C15" t="s">
        <v>56</v>
      </c>
      <c r="D15" t="s">
        <v>25</v>
      </c>
      <c r="E15" s="6">
        <v>360</v>
      </c>
      <c r="F15" s="6">
        <v>100</v>
      </c>
      <c r="G15" s="6">
        <v>500</v>
      </c>
      <c r="H15" s="4">
        <v>579.5</v>
      </c>
      <c r="I15" t="s">
        <v>68</v>
      </c>
      <c r="J15" s="5">
        <v>46107</v>
      </c>
      <c r="K15" s="6">
        <v>60</v>
      </c>
    </row>
    <row r="16" spans="1:17">
      <c r="A16" t="s">
        <v>69</v>
      </c>
      <c r="B16" t="s">
        <v>58</v>
      </c>
      <c r="C16" t="s">
        <v>56</v>
      </c>
      <c r="D16" t="s">
        <v>39</v>
      </c>
      <c r="E16" s="6">
        <v>18</v>
      </c>
      <c r="F16" s="6">
        <v>10</v>
      </c>
      <c r="G16" s="6">
        <v>50</v>
      </c>
      <c r="H16" s="4">
        <v>882.82</v>
      </c>
      <c r="I16" t="s">
        <v>66</v>
      </c>
      <c r="J16" s="5">
        <v>46141</v>
      </c>
      <c r="K16" s="6">
        <v>7</v>
      </c>
    </row>
    <row r="17" spans="1:11">
      <c r="A17" t="s">
        <v>70</v>
      </c>
      <c r="B17" t="s">
        <v>71</v>
      </c>
      <c r="C17" t="s">
        <v>56</v>
      </c>
      <c r="D17" t="s">
        <v>25</v>
      </c>
      <c r="E17" s="6">
        <v>59</v>
      </c>
      <c r="F17" s="6">
        <v>10</v>
      </c>
      <c r="G17" s="6">
        <v>60</v>
      </c>
      <c r="H17" s="4">
        <v>507.24</v>
      </c>
      <c r="I17" t="s">
        <v>68</v>
      </c>
      <c r="J17" s="5">
        <v>46170</v>
      </c>
      <c r="K17" s="6">
        <v>45</v>
      </c>
    </row>
    <row r="18" spans="1:11">
      <c r="A18" t="s">
        <v>72</v>
      </c>
      <c r="B18" t="s">
        <v>73</v>
      </c>
      <c r="C18" t="s">
        <v>62</v>
      </c>
      <c r="D18" t="s">
        <v>48</v>
      </c>
      <c r="E18" s="6">
        <v>144</v>
      </c>
      <c r="F18" s="6">
        <v>25</v>
      </c>
      <c r="G18" s="6">
        <v>150</v>
      </c>
      <c r="H18" s="4">
        <v>513.48</v>
      </c>
      <c r="I18" t="s">
        <v>34</v>
      </c>
      <c r="J18" s="5">
        <v>46123</v>
      </c>
      <c r="K18" s="6">
        <v>21</v>
      </c>
    </row>
    <row r="19" spans="1:11">
      <c r="A19" t="s">
        <v>74</v>
      </c>
      <c r="B19" t="s">
        <v>75</v>
      </c>
      <c r="C19" t="s">
        <v>24</v>
      </c>
      <c r="D19" t="s">
        <v>65</v>
      </c>
      <c r="E19" s="6">
        <v>7</v>
      </c>
      <c r="F19" s="6">
        <v>30</v>
      </c>
      <c r="G19" s="6">
        <v>180</v>
      </c>
      <c r="H19" s="4">
        <v>63.16</v>
      </c>
      <c r="I19" t="s">
        <v>49</v>
      </c>
      <c r="J19" s="5">
        <v>46052</v>
      </c>
      <c r="K19" s="6">
        <v>30</v>
      </c>
    </row>
    <row r="20" spans="1:11">
      <c r="A20" t="s">
        <v>76</v>
      </c>
      <c r="B20" t="s">
        <v>71</v>
      </c>
      <c r="C20" t="s">
        <v>56</v>
      </c>
      <c r="D20" t="s">
        <v>48</v>
      </c>
      <c r="E20" s="6">
        <v>12</v>
      </c>
      <c r="F20" s="6">
        <v>10</v>
      </c>
      <c r="G20" s="6">
        <v>30</v>
      </c>
      <c r="H20" s="4">
        <v>219.42</v>
      </c>
      <c r="I20" t="s">
        <v>49</v>
      </c>
      <c r="J20" s="5">
        <v>46118</v>
      </c>
      <c r="K20" s="6">
        <v>7</v>
      </c>
    </row>
    <row r="21" spans="1:11">
      <c r="A21" t="s">
        <v>77</v>
      </c>
      <c r="B21" t="s">
        <v>78</v>
      </c>
      <c r="C21" t="s">
        <v>33</v>
      </c>
      <c r="D21" t="s">
        <v>65</v>
      </c>
      <c r="E21" s="6">
        <v>484</v>
      </c>
      <c r="F21" s="6">
        <v>75</v>
      </c>
      <c r="G21" s="6">
        <v>450</v>
      </c>
      <c r="H21" s="4">
        <v>687.88</v>
      </c>
      <c r="I21" t="s">
        <v>53</v>
      </c>
      <c r="J21" s="5">
        <v>46140</v>
      </c>
      <c r="K21" s="6">
        <v>60</v>
      </c>
    </row>
    <row r="22" spans="1:11">
      <c r="A22" t="s">
        <v>79</v>
      </c>
      <c r="B22" t="s">
        <v>80</v>
      </c>
      <c r="C22" t="s">
        <v>62</v>
      </c>
      <c r="D22" t="s">
        <v>48</v>
      </c>
      <c r="E22" s="6">
        <v>22</v>
      </c>
      <c r="F22" s="6">
        <v>10</v>
      </c>
      <c r="G22" s="6">
        <v>30</v>
      </c>
      <c r="H22" s="4">
        <v>403.84</v>
      </c>
      <c r="I22" t="s">
        <v>53</v>
      </c>
      <c r="J22" s="5">
        <v>46189</v>
      </c>
      <c r="K22" s="6">
        <v>45</v>
      </c>
    </row>
    <row r="23" spans="1:11">
      <c r="A23" t="s">
        <v>81</v>
      </c>
      <c r="B23" t="s">
        <v>75</v>
      </c>
      <c r="C23" t="s">
        <v>24</v>
      </c>
      <c r="D23" t="s">
        <v>25</v>
      </c>
      <c r="E23" s="6">
        <v>17</v>
      </c>
      <c r="F23" s="6">
        <v>10</v>
      </c>
      <c r="G23" s="6">
        <v>60</v>
      </c>
      <c r="H23" s="4">
        <v>238.1</v>
      </c>
      <c r="I23" t="s">
        <v>34</v>
      </c>
      <c r="J23" s="5">
        <v>46065</v>
      </c>
      <c r="K23" s="6">
        <v>21</v>
      </c>
    </row>
    <row r="24" spans="1:11">
      <c r="A24" t="s">
        <v>82</v>
      </c>
      <c r="B24" t="s">
        <v>83</v>
      </c>
      <c r="C24" t="s">
        <v>56</v>
      </c>
      <c r="D24" t="s">
        <v>48</v>
      </c>
      <c r="E24" s="6">
        <v>160</v>
      </c>
      <c r="F24" s="6">
        <v>25</v>
      </c>
      <c r="G24" s="6">
        <v>150</v>
      </c>
      <c r="H24" s="4">
        <v>422.37</v>
      </c>
      <c r="I24" t="s">
        <v>26</v>
      </c>
      <c r="J24" s="5">
        <v>46190</v>
      </c>
      <c r="K24" s="6">
        <v>45</v>
      </c>
    </row>
    <row r="25" spans="1:11">
      <c r="A25" t="s">
        <v>84</v>
      </c>
      <c r="B25" t="s">
        <v>85</v>
      </c>
      <c r="C25" t="s">
        <v>33</v>
      </c>
      <c r="D25" t="s">
        <v>25</v>
      </c>
      <c r="E25" s="6">
        <v>62</v>
      </c>
      <c r="F25" s="6">
        <v>100</v>
      </c>
      <c r="G25" s="6">
        <v>400</v>
      </c>
      <c r="H25" s="4">
        <v>458.59</v>
      </c>
      <c r="I25" t="s">
        <v>30</v>
      </c>
      <c r="J25" s="5">
        <v>46187</v>
      </c>
      <c r="K25" s="6">
        <v>10</v>
      </c>
    </row>
    <row r="26" spans="1:11">
      <c r="A26" t="s">
        <v>86</v>
      </c>
      <c r="B26" t="s">
        <v>87</v>
      </c>
      <c r="C26" t="s">
        <v>62</v>
      </c>
      <c r="D26" t="s">
        <v>59</v>
      </c>
      <c r="E26" s="6">
        <v>222</v>
      </c>
      <c r="F26" s="6">
        <v>25</v>
      </c>
      <c r="G26" s="6">
        <v>150</v>
      </c>
      <c r="H26" s="4">
        <v>629.62</v>
      </c>
      <c r="I26" t="s">
        <v>53</v>
      </c>
      <c r="J26" s="5">
        <v>46163</v>
      </c>
      <c r="K26" s="6">
        <v>10</v>
      </c>
    </row>
    <row r="27" spans="1:11">
      <c r="A27" t="s">
        <v>88</v>
      </c>
      <c r="B27" t="s">
        <v>89</v>
      </c>
      <c r="C27" t="s">
        <v>52</v>
      </c>
      <c r="D27" t="s">
        <v>25</v>
      </c>
      <c r="E27" s="6">
        <v>58</v>
      </c>
      <c r="F27" s="6">
        <v>50</v>
      </c>
      <c r="G27" s="6">
        <v>150</v>
      </c>
      <c r="H27" s="4">
        <v>50.01</v>
      </c>
      <c r="I27" t="s">
        <v>53</v>
      </c>
      <c r="J27" s="5">
        <v>46074</v>
      </c>
      <c r="K27" s="6">
        <v>60</v>
      </c>
    </row>
    <row r="28" spans="1:11">
      <c r="A28" t="s">
        <v>90</v>
      </c>
      <c r="B28" t="s">
        <v>78</v>
      </c>
      <c r="C28" t="s">
        <v>33</v>
      </c>
      <c r="D28" t="s">
        <v>25</v>
      </c>
      <c r="E28" s="6">
        <v>59</v>
      </c>
      <c r="F28" s="6">
        <v>50</v>
      </c>
      <c r="G28" s="6">
        <v>150</v>
      </c>
      <c r="H28" s="4">
        <v>566.29999999999995</v>
      </c>
      <c r="I28" t="s">
        <v>34</v>
      </c>
      <c r="J28" s="5">
        <v>46099</v>
      </c>
      <c r="K28" s="6">
        <v>7</v>
      </c>
    </row>
    <row r="29" spans="1:11">
      <c r="A29" t="s">
        <v>91</v>
      </c>
      <c r="B29" t="s">
        <v>92</v>
      </c>
      <c r="C29" t="s">
        <v>33</v>
      </c>
      <c r="D29" t="s">
        <v>39</v>
      </c>
      <c r="E29" s="6">
        <v>104</v>
      </c>
      <c r="F29" s="6">
        <v>50</v>
      </c>
      <c r="G29" s="6">
        <v>150</v>
      </c>
      <c r="H29" s="4">
        <v>625.36</v>
      </c>
      <c r="I29" t="s">
        <v>43</v>
      </c>
      <c r="J29" s="5">
        <v>46136</v>
      </c>
      <c r="K29" s="6">
        <v>10</v>
      </c>
    </row>
    <row r="30" spans="1:11">
      <c r="A30" t="s">
        <v>93</v>
      </c>
      <c r="B30" t="s">
        <v>75</v>
      </c>
      <c r="C30" t="s">
        <v>24</v>
      </c>
      <c r="D30" t="s">
        <v>65</v>
      </c>
      <c r="E30" s="6">
        <v>59</v>
      </c>
      <c r="F30" s="6">
        <v>20</v>
      </c>
      <c r="G30" s="6">
        <v>100</v>
      </c>
      <c r="H30" s="4">
        <v>435.72</v>
      </c>
      <c r="I30" t="s">
        <v>26</v>
      </c>
      <c r="J30" s="5">
        <v>46200</v>
      </c>
      <c r="K30" s="6">
        <v>21</v>
      </c>
    </row>
    <row r="31" spans="1:11">
      <c r="A31" t="s">
        <v>94</v>
      </c>
      <c r="B31" t="s">
        <v>95</v>
      </c>
      <c r="C31" t="s">
        <v>33</v>
      </c>
      <c r="D31" t="s">
        <v>25</v>
      </c>
      <c r="E31" s="6">
        <v>15</v>
      </c>
      <c r="F31" s="6">
        <v>10</v>
      </c>
      <c r="G31" s="6">
        <v>40</v>
      </c>
      <c r="H31" s="4">
        <v>886.76</v>
      </c>
      <c r="I31" t="s">
        <v>26</v>
      </c>
      <c r="J31" s="5">
        <v>46140</v>
      </c>
      <c r="K31" s="6">
        <v>14</v>
      </c>
    </row>
    <row r="32" spans="1:11">
      <c r="A32" t="s">
        <v>96</v>
      </c>
      <c r="B32" t="s">
        <v>89</v>
      </c>
      <c r="C32" t="s">
        <v>52</v>
      </c>
      <c r="D32" t="s">
        <v>59</v>
      </c>
      <c r="E32" s="6">
        <v>435</v>
      </c>
      <c r="F32" s="6">
        <v>100</v>
      </c>
      <c r="G32" s="6">
        <v>500</v>
      </c>
      <c r="H32" s="4">
        <v>503.67</v>
      </c>
      <c r="I32" t="s">
        <v>66</v>
      </c>
      <c r="J32" s="5">
        <v>46033</v>
      </c>
      <c r="K32" s="6">
        <v>7</v>
      </c>
    </row>
    <row r="33" spans="1:11">
      <c r="A33" t="s">
        <v>97</v>
      </c>
      <c r="B33" t="s">
        <v>98</v>
      </c>
      <c r="C33" t="s">
        <v>56</v>
      </c>
      <c r="D33" t="s">
        <v>25</v>
      </c>
      <c r="E33" s="6">
        <v>60</v>
      </c>
      <c r="F33" s="6">
        <v>10</v>
      </c>
      <c r="G33" s="6">
        <v>40</v>
      </c>
      <c r="H33" s="4">
        <v>202.07</v>
      </c>
      <c r="I33" t="s">
        <v>43</v>
      </c>
      <c r="J33" s="5">
        <v>46150</v>
      </c>
      <c r="K33" s="6">
        <v>45</v>
      </c>
    </row>
    <row r="34" spans="1:11">
      <c r="A34" t="s">
        <v>99</v>
      </c>
      <c r="B34" t="s">
        <v>45</v>
      </c>
      <c r="C34" t="s">
        <v>24</v>
      </c>
      <c r="D34" t="s">
        <v>39</v>
      </c>
      <c r="E34" s="6">
        <v>139</v>
      </c>
      <c r="F34" s="6">
        <v>30</v>
      </c>
      <c r="G34" s="6">
        <v>150</v>
      </c>
      <c r="H34" s="4">
        <v>50.63</v>
      </c>
      <c r="I34" t="s">
        <v>30</v>
      </c>
      <c r="J34" s="5">
        <v>46132</v>
      </c>
      <c r="K34" s="6">
        <v>7</v>
      </c>
    </row>
    <row r="35" spans="1:11">
      <c r="A35" t="s">
        <v>100</v>
      </c>
      <c r="B35" t="s">
        <v>101</v>
      </c>
      <c r="C35" t="s">
        <v>29</v>
      </c>
      <c r="D35" t="s">
        <v>48</v>
      </c>
      <c r="E35" s="6">
        <v>56</v>
      </c>
      <c r="F35" s="6">
        <v>75</v>
      </c>
      <c r="G35" s="6">
        <v>375</v>
      </c>
      <c r="H35" s="4">
        <v>525.22</v>
      </c>
      <c r="I35" t="s">
        <v>30</v>
      </c>
      <c r="J35" s="5">
        <v>46059</v>
      </c>
      <c r="K35" s="6">
        <v>7</v>
      </c>
    </row>
    <row r="36" spans="1:11">
      <c r="A36" t="s">
        <v>102</v>
      </c>
      <c r="B36" t="s">
        <v>103</v>
      </c>
      <c r="C36" t="s">
        <v>29</v>
      </c>
      <c r="D36" t="s">
        <v>48</v>
      </c>
      <c r="E36" s="6">
        <v>125</v>
      </c>
      <c r="F36" s="6">
        <v>50</v>
      </c>
      <c r="G36" s="6">
        <v>150</v>
      </c>
      <c r="H36" s="4">
        <v>526.02</v>
      </c>
      <c r="I36" t="s">
        <v>30</v>
      </c>
      <c r="J36" s="5">
        <v>46170</v>
      </c>
      <c r="K36" s="6">
        <v>7</v>
      </c>
    </row>
    <row r="37" spans="1:11">
      <c r="A37" t="s">
        <v>104</v>
      </c>
      <c r="B37" t="s">
        <v>105</v>
      </c>
      <c r="C37" t="s">
        <v>52</v>
      </c>
      <c r="D37" t="s">
        <v>25</v>
      </c>
      <c r="E37" s="6">
        <v>39</v>
      </c>
      <c r="F37" s="6">
        <v>25</v>
      </c>
      <c r="G37" s="6">
        <v>100</v>
      </c>
      <c r="H37" s="4">
        <v>337.61</v>
      </c>
      <c r="I37" t="s">
        <v>30</v>
      </c>
      <c r="J37" s="5">
        <v>46044</v>
      </c>
      <c r="K37" s="6">
        <v>45</v>
      </c>
    </row>
    <row r="38" spans="1:11">
      <c r="A38" t="s">
        <v>106</v>
      </c>
      <c r="B38" t="s">
        <v>55</v>
      </c>
      <c r="C38" t="s">
        <v>56</v>
      </c>
      <c r="D38" t="s">
        <v>48</v>
      </c>
      <c r="E38" s="6">
        <v>113</v>
      </c>
      <c r="F38" s="6">
        <v>100</v>
      </c>
      <c r="G38" s="6">
        <v>400</v>
      </c>
      <c r="H38" s="4">
        <v>172.44</v>
      </c>
      <c r="I38" t="s">
        <v>43</v>
      </c>
      <c r="J38" s="5">
        <v>46097</v>
      </c>
      <c r="K38" s="6">
        <v>60</v>
      </c>
    </row>
    <row r="39" spans="1:11">
      <c r="A39" t="s">
        <v>107</v>
      </c>
      <c r="B39" t="s">
        <v>75</v>
      </c>
      <c r="C39" t="s">
        <v>24</v>
      </c>
      <c r="D39" t="s">
        <v>48</v>
      </c>
      <c r="E39" s="6">
        <v>39</v>
      </c>
      <c r="F39" s="6">
        <v>25</v>
      </c>
      <c r="G39" s="6">
        <v>100</v>
      </c>
      <c r="H39" s="4">
        <v>364.96</v>
      </c>
      <c r="I39" t="s">
        <v>49</v>
      </c>
      <c r="J39" s="5">
        <v>46082</v>
      </c>
      <c r="K39" s="6">
        <v>10</v>
      </c>
    </row>
    <row r="40" spans="1:11">
      <c r="A40" t="s">
        <v>108</v>
      </c>
      <c r="B40" t="s">
        <v>109</v>
      </c>
      <c r="C40" t="s">
        <v>56</v>
      </c>
      <c r="D40" t="s">
        <v>65</v>
      </c>
      <c r="E40" s="6">
        <v>125</v>
      </c>
      <c r="F40" s="6">
        <v>25</v>
      </c>
      <c r="G40" s="6">
        <v>100</v>
      </c>
      <c r="H40" s="4">
        <v>380.05</v>
      </c>
      <c r="I40" t="s">
        <v>66</v>
      </c>
      <c r="J40" s="5">
        <v>46185</v>
      </c>
      <c r="K40" s="6">
        <v>60</v>
      </c>
    </row>
    <row r="41" spans="1:11">
      <c r="A41" t="s">
        <v>110</v>
      </c>
      <c r="B41" t="s">
        <v>105</v>
      </c>
      <c r="C41" t="s">
        <v>52</v>
      </c>
      <c r="D41" t="s">
        <v>39</v>
      </c>
      <c r="E41" s="6">
        <v>45</v>
      </c>
      <c r="F41" s="6">
        <v>30</v>
      </c>
      <c r="G41" s="6">
        <v>150</v>
      </c>
      <c r="H41" s="4">
        <v>833.49</v>
      </c>
      <c r="I41" t="s">
        <v>66</v>
      </c>
      <c r="J41" s="5">
        <v>46157</v>
      </c>
      <c r="K41" s="6">
        <v>30</v>
      </c>
    </row>
    <row r="42" spans="1:11">
      <c r="A42" t="s">
        <v>111</v>
      </c>
      <c r="B42" t="s">
        <v>51</v>
      </c>
      <c r="C42" t="s">
        <v>52</v>
      </c>
      <c r="D42" t="s">
        <v>25</v>
      </c>
      <c r="E42" s="6">
        <v>252</v>
      </c>
      <c r="F42" s="6">
        <v>50</v>
      </c>
      <c r="G42" s="6">
        <v>300</v>
      </c>
      <c r="H42" s="4">
        <v>299.70999999999998</v>
      </c>
      <c r="I42" t="s">
        <v>26</v>
      </c>
      <c r="J42" s="5">
        <v>46104</v>
      </c>
      <c r="K42" s="6">
        <v>30</v>
      </c>
    </row>
    <row r="43" spans="1:11">
      <c r="A43" t="s">
        <v>112</v>
      </c>
      <c r="B43" t="s">
        <v>113</v>
      </c>
      <c r="C43" t="s">
        <v>56</v>
      </c>
      <c r="D43" t="s">
        <v>25</v>
      </c>
      <c r="E43" s="6">
        <v>68</v>
      </c>
      <c r="F43" s="6">
        <v>75</v>
      </c>
      <c r="G43" s="6">
        <v>450</v>
      </c>
      <c r="H43" s="4">
        <v>653.29999999999995</v>
      </c>
      <c r="I43" t="s">
        <v>34</v>
      </c>
      <c r="J43" s="5">
        <v>46109</v>
      </c>
      <c r="K43" s="6">
        <v>21</v>
      </c>
    </row>
    <row r="44" spans="1:11">
      <c r="A44" t="s">
        <v>114</v>
      </c>
      <c r="B44" t="s">
        <v>115</v>
      </c>
      <c r="C44" t="s">
        <v>29</v>
      </c>
      <c r="D44" t="s">
        <v>65</v>
      </c>
      <c r="E44" s="6">
        <v>82</v>
      </c>
      <c r="F44" s="6">
        <v>50</v>
      </c>
      <c r="G44" s="6">
        <v>250</v>
      </c>
      <c r="H44" s="4">
        <v>684.47</v>
      </c>
      <c r="I44" t="s">
        <v>66</v>
      </c>
      <c r="J44" s="5">
        <v>46073</v>
      </c>
      <c r="K44" s="6">
        <v>14</v>
      </c>
    </row>
    <row r="45" spans="1:11">
      <c r="A45" t="s">
        <v>116</v>
      </c>
      <c r="B45" t="s">
        <v>117</v>
      </c>
      <c r="C45" t="s">
        <v>24</v>
      </c>
      <c r="D45" t="s">
        <v>65</v>
      </c>
      <c r="E45" s="6">
        <v>55</v>
      </c>
      <c r="F45" s="6">
        <v>30</v>
      </c>
      <c r="G45" s="6">
        <v>150</v>
      </c>
      <c r="H45" s="4">
        <v>400.87</v>
      </c>
      <c r="I45" t="s">
        <v>30</v>
      </c>
      <c r="J45" s="5">
        <v>46029</v>
      </c>
      <c r="K45" s="6">
        <v>45</v>
      </c>
    </row>
    <row r="46" spans="1:11">
      <c r="A46" t="s">
        <v>118</v>
      </c>
      <c r="B46" t="s">
        <v>58</v>
      </c>
      <c r="C46" t="s">
        <v>56</v>
      </c>
      <c r="D46" t="s">
        <v>39</v>
      </c>
      <c r="E46" s="6">
        <v>26</v>
      </c>
      <c r="F46" s="6">
        <v>25</v>
      </c>
      <c r="G46" s="6">
        <v>150</v>
      </c>
      <c r="H46" s="4">
        <v>290.42</v>
      </c>
      <c r="I46" t="s">
        <v>34</v>
      </c>
      <c r="J46" s="5">
        <v>46092</v>
      </c>
      <c r="K46" s="6">
        <v>60</v>
      </c>
    </row>
    <row r="47" spans="1:11">
      <c r="A47" t="s">
        <v>119</v>
      </c>
      <c r="B47" t="s">
        <v>95</v>
      </c>
      <c r="C47" t="s">
        <v>33</v>
      </c>
      <c r="D47" t="s">
        <v>65</v>
      </c>
      <c r="E47" s="6">
        <v>85</v>
      </c>
      <c r="F47" s="6">
        <v>30</v>
      </c>
      <c r="G47" s="6">
        <v>180</v>
      </c>
      <c r="H47" s="4">
        <v>486.84</v>
      </c>
      <c r="I47" t="s">
        <v>68</v>
      </c>
      <c r="J47" s="5">
        <v>46034</v>
      </c>
      <c r="K47" s="6">
        <v>7</v>
      </c>
    </row>
    <row r="48" spans="1:11">
      <c r="A48" t="s">
        <v>120</v>
      </c>
      <c r="B48" t="s">
        <v>121</v>
      </c>
      <c r="C48" t="s">
        <v>52</v>
      </c>
      <c r="D48" t="s">
        <v>39</v>
      </c>
      <c r="E48" s="6">
        <v>74</v>
      </c>
      <c r="F48" s="6">
        <v>25</v>
      </c>
      <c r="G48" s="6">
        <v>75</v>
      </c>
      <c r="H48" s="4">
        <v>225.04</v>
      </c>
      <c r="I48" t="s">
        <v>66</v>
      </c>
      <c r="J48" s="5">
        <v>46145</v>
      </c>
      <c r="K48" s="6">
        <v>60</v>
      </c>
    </row>
    <row r="49" spans="1:11">
      <c r="A49" t="s">
        <v>122</v>
      </c>
      <c r="B49" t="s">
        <v>123</v>
      </c>
      <c r="C49" t="s">
        <v>56</v>
      </c>
      <c r="D49" t="s">
        <v>25</v>
      </c>
      <c r="E49" s="6">
        <v>30</v>
      </c>
      <c r="F49" s="6">
        <v>10</v>
      </c>
      <c r="G49" s="6">
        <v>40</v>
      </c>
      <c r="H49" s="4">
        <v>807.63</v>
      </c>
      <c r="I49" t="s">
        <v>26</v>
      </c>
      <c r="J49" s="5">
        <v>46086</v>
      </c>
      <c r="K49" s="6">
        <v>21</v>
      </c>
    </row>
    <row r="50" spans="1:11">
      <c r="A50" t="s">
        <v>124</v>
      </c>
      <c r="B50" t="s">
        <v>125</v>
      </c>
      <c r="C50" t="s">
        <v>24</v>
      </c>
      <c r="D50" t="s">
        <v>48</v>
      </c>
      <c r="E50" s="6">
        <v>200</v>
      </c>
      <c r="F50" s="6">
        <v>75</v>
      </c>
      <c r="G50" s="6">
        <v>450</v>
      </c>
      <c r="H50" s="4">
        <v>142.32</v>
      </c>
      <c r="I50" t="s">
        <v>49</v>
      </c>
      <c r="J50" s="5">
        <v>46175</v>
      </c>
      <c r="K50" s="6">
        <v>60</v>
      </c>
    </row>
    <row r="51" spans="1:11">
      <c r="A51" t="s">
        <v>126</v>
      </c>
      <c r="B51" t="s">
        <v>127</v>
      </c>
      <c r="C51" t="s">
        <v>62</v>
      </c>
      <c r="D51" t="s">
        <v>48</v>
      </c>
      <c r="E51" s="6">
        <v>31</v>
      </c>
      <c r="F51" s="6">
        <v>100</v>
      </c>
      <c r="G51" s="6">
        <v>600</v>
      </c>
      <c r="H51" s="4">
        <v>871.8</v>
      </c>
      <c r="I51" t="s">
        <v>26</v>
      </c>
      <c r="J51" s="5">
        <v>46086</v>
      </c>
      <c r="K51" s="6">
        <v>10</v>
      </c>
    </row>
    <row r="52" spans="1:11">
      <c r="A52" t="s">
        <v>128</v>
      </c>
      <c r="B52" t="s">
        <v>129</v>
      </c>
      <c r="C52" t="s">
        <v>42</v>
      </c>
      <c r="D52" t="s">
        <v>39</v>
      </c>
      <c r="E52" s="6">
        <v>164</v>
      </c>
      <c r="F52" s="6">
        <v>50</v>
      </c>
      <c r="G52" s="6">
        <v>250</v>
      </c>
      <c r="H52" s="4">
        <v>582.99</v>
      </c>
      <c r="I52" t="s">
        <v>30</v>
      </c>
      <c r="J52" s="5">
        <v>46062</v>
      </c>
      <c r="K52" s="6">
        <v>21</v>
      </c>
    </row>
    <row r="53" spans="1:11">
      <c r="A53" t="s">
        <v>130</v>
      </c>
      <c r="B53" t="s">
        <v>131</v>
      </c>
      <c r="C53" t="s">
        <v>56</v>
      </c>
      <c r="D53" t="s">
        <v>59</v>
      </c>
      <c r="E53" s="6">
        <v>138</v>
      </c>
      <c r="F53" s="6">
        <v>30</v>
      </c>
      <c r="G53" s="6">
        <v>150</v>
      </c>
      <c r="H53" s="4">
        <v>606.67999999999995</v>
      </c>
      <c r="I53" t="s">
        <v>53</v>
      </c>
      <c r="J53" s="5">
        <v>46042</v>
      </c>
      <c r="K53" s="6">
        <v>10</v>
      </c>
    </row>
    <row r="54" spans="1:11">
      <c r="A54" t="s">
        <v>132</v>
      </c>
      <c r="B54" t="s">
        <v>133</v>
      </c>
      <c r="C54" t="s">
        <v>52</v>
      </c>
      <c r="D54" t="s">
        <v>25</v>
      </c>
      <c r="E54" s="6">
        <v>461</v>
      </c>
      <c r="F54" s="6">
        <v>75</v>
      </c>
      <c r="G54" s="6">
        <v>375</v>
      </c>
      <c r="H54" s="4">
        <v>305.42</v>
      </c>
      <c r="I54" t="s">
        <v>26</v>
      </c>
      <c r="J54" s="5">
        <v>46167</v>
      </c>
      <c r="K54" s="6">
        <v>10</v>
      </c>
    </row>
    <row r="55" spans="1:11">
      <c r="A55" t="s">
        <v>134</v>
      </c>
      <c r="B55" t="s">
        <v>109</v>
      </c>
      <c r="C55" t="s">
        <v>56</v>
      </c>
      <c r="D55" t="s">
        <v>48</v>
      </c>
      <c r="E55" s="6">
        <v>52</v>
      </c>
      <c r="F55" s="6">
        <v>75</v>
      </c>
      <c r="G55" s="6">
        <v>300</v>
      </c>
      <c r="H55" s="4">
        <v>316.01</v>
      </c>
      <c r="I55" t="s">
        <v>53</v>
      </c>
      <c r="J55" s="5">
        <v>46096</v>
      </c>
      <c r="K55" s="6">
        <v>7</v>
      </c>
    </row>
    <row r="56" spans="1:11">
      <c r="A56" t="s">
        <v>135</v>
      </c>
      <c r="B56" t="s">
        <v>109</v>
      </c>
      <c r="C56" t="s">
        <v>56</v>
      </c>
      <c r="D56" t="s">
        <v>59</v>
      </c>
      <c r="E56" s="6">
        <v>296</v>
      </c>
      <c r="F56" s="6">
        <v>100</v>
      </c>
      <c r="G56" s="6">
        <v>300</v>
      </c>
      <c r="H56" s="4">
        <v>547.97</v>
      </c>
      <c r="I56" t="s">
        <v>53</v>
      </c>
      <c r="J56" s="5">
        <v>46201</v>
      </c>
      <c r="K56" s="6">
        <v>14</v>
      </c>
    </row>
    <row r="57" spans="1:11">
      <c r="A57" t="s">
        <v>136</v>
      </c>
      <c r="B57" t="s">
        <v>133</v>
      </c>
      <c r="C57" t="s">
        <v>52</v>
      </c>
      <c r="D57" t="s">
        <v>59</v>
      </c>
      <c r="E57" s="6">
        <v>120</v>
      </c>
      <c r="F57" s="6">
        <v>50</v>
      </c>
      <c r="G57" s="6">
        <v>200</v>
      </c>
      <c r="H57" s="4">
        <v>415.45</v>
      </c>
      <c r="I57" t="s">
        <v>49</v>
      </c>
      <c r="J57" s="5">
        <v>46103</v>
      </c>
      <c r="K57" s="6">
        <v>14</v>
      </c>
    </row>
    <row r="58" spans="1:11">
      <c r="A58" t="s">
        <v>137</v>
      </c>
      <c r="B58" t="s">
        <v>75</v>
      </c>
      <c r="C58" t="s">
        <v>24</v>
      </c>
      <c r="D58" t="s">
        <v>59</v>
      </c>
      <c r="E58" s="6">
        <v>108</v>
      </c>
      <c r="F58" s="6">
        <v>75</v>
      </c>
      <c r="G58" s="6">
        <v>300</v>
      </c>
      <c r="H58" s="4">
        <v>931.73</v>
      </c>
      <c r="I58" t="s">
        <v>49</v>
      </c>
      <c r="J58" s="5">
        <v>46102</v>
      </c>
      <c r="K58" s="6">
        <v>30</v>
      </c>
    </row>
    <row r="59" spans="1:11">
      <c r="A59" t="s">
        <v>138</v>
      </c>
      <c r="B59" t="s">
        <v>139</v>
      </c>
      <c r="C59" t="s">
        <v>33</v>
      </c>
      <c r="D59" t="s">
        <v>25</v>
      </c>
      <c r="E59" s="6">
        <v>7</v>
      </c>
      <c r="F59" s="6">
        <v>10</v>
      </c>
      <c r="G59" s="6">
        <v>60</v>
      </c>
      <c r="H59" s="4">
        <v>174.69</v>
      </c>
      <c r="I59" t="s">
        <v>66</v>
      </c>
      <c r="J59" s="5">
        <v>46105</v>
      </c>
      <c r="K59" s="6">
        <v>14</v>
      </c>
    </row>
    <row r="60" spans="1:11">
      <c r="A60" t="s">
        <v>140</v>
      </c>
      <c r="B60" t="s">
        <v>109</v>
      </c>
      <c r="C60" t="s">
        <v>56</v>
      </c>
      <c r="D60" t="s">
        <v>65</v>
      </c>
      <c r="E60" s="6">
        <v>204</v>
      </c>
      <c r="F60" s="6">
        <v>25</v>
      </c>
      <c r="G60" s="6">
        <v>150</v>
      </c>
      <c r="H60" s="4">
        <v>241.53</v>
      </c>
      <c r="I60" t="s">
        <v>26</v>
      </c>
      <c r="J60" s="5">
        <v>46082</v>
      </c>
      <c r="K60" s="6">
        <v>7</v>
      </c>
    </row>
    <row r="61" spans="1:11">
      <c r="A61" t="s">
        <v>141</v>
      </c>
      <c r="B61" t="s">
        <v>47</v>
      </c>
      <c r="C61" t="s">
        <v>24</v>
      </c>
      <c r="D61" t="s">
        <v>25</v>
      </c>
      <c r="E61" s="6">
        <v>31</v>
      </c>
      <c r="F61" s="6">
        <v>25</v>
      </c>
      <c r="G61" s="6">
        <v>100</v>
      </c>
      <c r="H61" s="4">
        <v>717.14</v>
      </c>
      <c r="I61" t="s">
        <v>34</v>
      </c>
      <c r="J61" s="5">
        <v>46151</v>
      </c>
      <c r="K61" s="6">
        <v>60</v>
      </c>
    </row>
    <row r="62" spans="1:11">
      <c r="A62" t="s">
        <v>142</v>
      </c>
      <c r="B62" t="s">
        <v>143</v>
      </c>
      <c r="C62" t="s">
        <v>29</v>
      </c>
      <c r="D62" t="s">
        <v>48</v>
      </c>
      <c r="E62" s="6">
        <v>28</v>
      </c>
      <c r="F62" s="6">
        <v>20</v>
      </c>
      <c r="G62" s="6">
        <v>80</v>
      </c>
      <c r="H62" s="4">
        <v>536.86</v>
      </c>
      <c r="I62" t="s">
        <v>34</v>
      </c>
      <c r="J62" s="5">
        <v>46083</v>
      </c>
      <c r="K62" s="6">
        <v>45</v>
      </c>
    </row>
    <row r="63" spans="1:11">
      <c r="A63" t="s">
        <v>144</v>
      </c>
      <c r="B63" t="s">
        <v>105</v>
      </c>
      <c r="C63" t="s">
        <v>52</v>
      </c>
      <c r="D63" t="s">
        <v>48</v>
      </c>
      <c r="E63" s="6">
        <v>71</v>
      </c>
      <c r="F63" s="6">
        <v>50</v>
      </c>
      <c r="G63" s="6">
        <v>150</v>
      </c>
      <c r="H63" s="4">
        <v>916.57</v>
      </c>
      <c r="I63" t="s">
        <v>26</v>
      </c>
      <c r="J63" s="5">
        <v>46054</v>
      </c>
      <c r="K63" s="6">
        <v>7</v>
      </c>
    </row>
    <row r="64" spans="1:11">
      <c r="A64" t="s">
        <v>145</v>
      </c>
      <c r="B64" t="s">
        <v>121</v>
      </c>
      <c r="C64" t="s">
        <v>52</v>
      </c>
      <c r="D64" t="s">
        <v>59</v>
      </c>
      <c r="E64" s="6">
        <v>22</v>
      </c>
      <c r="F64" s="6">
        <v>30</v>
      </c>
      <c r="G64" s="6">
        <v>120</v>
      </c>
      <c r="H64" s="4">
        <v>789.47</v>
      </c>
      <c r="I64" t="s">
        <v>34</v>
      </c>
      <c r="J64" s="5">
        <v>46176</v>
      </c>
      <c r="K64" s="6">
        <v>45</v>
      </c>
    </row>
    <row r="65" spans="1:11">
      <c r="A65" t="s">
        <v>146</v>
      </c>
      <c r="B65" t="s">
        <v>64</v>
      </c>
      <c r="C65" t="s">
        <v>42</v>
      </c>
      <c r="D65" t="s">
        <v>39</v>
      </c>
      <c r="E65" s="6">
        <v>245</v>
      </c>
      <c r="F65" s="6">
        <v>100</v>
      </c>
      <c r="G65" s="6">
        <v>300</v>
      </c>
      <c r="H65" s="4">
        <v>744.05</v>
      </c>
      <c r="I65" t="s">
        <v>43</v>
      </c>
      <c r="J65" s="5">
        <v>46066</v>
      </c>
      <c r="K65" s="6">
        <v>21</v>
      </c>
    </row>
    <row r="66" spans="1:11">
      <c r="A66" t="s">
        <v>147</v>
      </c>
      <c r="B66" t="s">
        <v>45</v>
      </c>
      <c r="C66" t="s">
        <v>24</v>
      </c>
      <c r="D66" t="s">
        <v>25</v>
      </c>
      <c r="E66" s="6">
        <v>26</v>
      </c>
      <c r="F66" s="6">
        <v>50</v>
      </c>
      <c r="G66" s="6">
        <v>250</v>
      </c>
      <c r="H66" s="4">
        <v>781.66</v>
      </c>
      <c r="I66" t="s">
        <v>26</v>
      </c>
      <c r="J66" s="5">
        <v>46092</v>
      </c>
      <c r="K66" s="6">
        <v>14</v>
      </c>
    </row>
    <row r="67" spans="1:11">
      <c r="A67" t="s">
        <v>148</v>
      </c>
      <c r="B67" t="s">
        <v>117</v>
      </c>
      <c r="C67" t="s">
        <v>24</v>
      </c>
      <c r="D67" t="s">
        <v>48</v>
      </c>
      <c r="E67" s="6">
        <v>114</v>
      </c>
      <c r="F67" s="6">
        <v>30</v>
      </c>
      <c r="G67" s="6">
        <v>120</v>
      </c>
      <c r="H67" s="4">
        <v>258.39999999999998</v>
      </c>
      <c r="I67" t="s">
        <v>53</v>
      </c>
      <c r="J67" s="5">
        <v>46083</v>
      </c>
      <c r="K67" s="6">
        <v>21</v>
      </c>
    </row>
    <row r="68" spans="1:11">
      <c r="A68" t="s">
        <v>149</v>
      </c>
      <c r="B68" t="s">
        <v>150</v>
      </c>
      <c r="C68" t="s">
        <v>42</v>
      </c>
      <c r="D68" t="s">
        <v>39</v>
      </c>
      <c r="E68" s="6">
        <v>37</v>
      </c>
      <c r="F68" s="6">
        <v>25</v>
      </c>
      <c r="G68" s="6">
        <v>125</v>
      </c>
      <c r="H68" s="4">
        <v>266.77999999999997</v>
      </c>
      <c r="I68" t="s">
        <v>53</v>
      </c>
      <c r="J68" s="5">
        <v>46140</v>
      </c>
      <c r="K68" s="6">
        <v>60</v>
      </c>
    </row>
    <row r="69" spans="1:11">
      <c r="A69" t="s">
        <v>151</v>
      </c>
      <c r="B69" t="s">
        <v>73</v>
      </c>
      <c r="C69" t="s">
        <v>62</v>
      </c>
      <c r="D69" t="s">
        <v>39</v>
      </c>
      <c r="E69" s="6">
        <v>329</v>
      </c>
      <c r="F69" s="6">
        <v>75</v>
      </c>
      <c r="G69" s="6">
        <v>450</v>
      </c>
      <c r="H69" s="4">
        <v>808.78</v>
      </c>
      <c r="I69" t="s">
        <v>68</v>
      </c>
      <c r="J69" s="5">
        <v>46078</v>
      </c>
      <c r="K69" s="6">
        <v>10</v>
      </c>
    </row>
    <row r="70" spans="1:11">
      <c r="A70" t="s">
        <v>152</v>
      </c>
      <c r="B70" t="s">
        <v>153</v>
      </c>
      <c r="C70" t="s">
        <v>52</v>
      </c>
      <c r="D70" t="s">
        <v>65</v>
      </c>
      <c r="E70" s="6">
        <v>92</v>
      </c>
      <c r="F70" s="6">
        <v>25</v>
      </c>
      <c r="G70" s="6">
        <v>125</v>
      </c>
      <c r="H70" s="4">
        <v>900.79</v>
      </c>
      <c r="I70" t="s">
        <v>26</v>
      </c>
      <c r="J70" s="5">
        <v>46141</v>
      </c>
      <c r="K70" s="6">
        <v>45</v>
      </c>
    </row>
    <row r="71" spans="1:11">
      <c r="A71" t="s">
        <v>154</v>
      </c>
      <c r="B71" t="s">
        <v>61</v>
      </c>
      <c r="C71" t="s">
        <v>62</v>
      </c>
      <c r="D71" t="s">
        <v>39</v>
      </c>
      <c r="E71" s="6">
        <v>352</v>
      </c>
      <c r="F71" s="6">
        <v>100</v>
      </c>
      <c r="G71" s="6">
        <v>400</v>
      </c>
      <c r="H71" s="4">
        <v>427.15</v>
      </c>
      <c r="I71" t="s">
        <v>49</v>
      </c>
      <c r="J71" s="5">
        <v>46179</v>
      </c>
      <c r="K71" s="6">
        <v>14</v>
      </c>
    </row>
    <row r="72" spans="1:11">
      <c r="A72" t="s">
        <v>155</v>
      </c>
      <c r="B72" t="s">
        <v>109</v>
      </c>
      <c r="C72" t="s">
        <v>56</v>
      </c>
      <c r="D72" t="s">
        <v>48</v>
      </c>
      <c r="E72" s="6">
        <v>93</v>
      </c>
      <c r="F72" s="6">
        <v>25</v>
      </c>
      <c r="G72" s="6">
        <v>125</v>
      </c>
      <c r="H72" s="4">
        <v>328.21</v>
      </c>
      <c r="I72" t="s">
        <v>43</v>
      </c>
      <c r="J72" s="5">
        <v>46112</v>
      </c>
      <c r="K72" s="6">
        <v>45</v>
      </c>
    </row>
    <row r="73" spans="1:11">
      <c r="A73" t="s">
        <v>156</v>
      </c>
      <c r="B73" t="s">
        <v>157</v>
      </c>
      <c r="C73" t="s">
        <v>62</v>
      </c>
      <c r="D73" t="s">
        <v>65</v>
      </c>
      <c r="E73" s="6">
        <v>6</v>
      </c>
      <c r="F73" s="6">
        <v>25</v>
      </c>
      <c r="G73" s="6">
        <v>100</v>
      </c>
      <c r="H73" s="4">
        <v>301.48</v>
      </c>
      <c r="I73" t="s">
        <v>68</v>
      </c>
      <c r="J73" s="5">
        <v>46153</v>
      </c>
      <c r="K73" s="6">
        <v>10</v>
      </c>
    </row>
    <row r="74" spans="1:11">
      <c r="A74" t="s">
        <v>158</v>
      </c>
      <c r="B74" t="s">
        <v>159</v>
      </c>
      <c r="C74" t="s">
        <v>24</v>
      </c>
      <c r="D74" t="s">
        <v>65</v>
      </c>
      <c r="E74" s="6">
        <v>175</v>
      </c>
      <c r="F74" s="6">
        <v>75</v>
      </c>
      <c r="G74" s="6">
        <v>375</v>
      </c>
      <c r="H74" s="4">
        <v>283.19</v>
      </c>
      <c r="I74" t="s">
        <v>43</v>
      </c>
      <c r="J74" s="5">
        <v>46157</v>
      </c>
      <c r="K74" s="6">
        <v>14</v>
      </c>
    </row>
    <row r="75" spans="1:11">
      <c r="A75" t="s">
        <v>160</v>
      </c>
      <c r="B75" t="s">
        <v>161</v>
      </c>
      <c r="C75" t="s">
        <v>29</v>
      </c>
      <c r="D75" t="s">
        <v>39</v>
      </c>
      <c r="E75" s="6">
        <v>1</v>
      </c>
      <c r="F75" s="6">
        <v>20</v>
      </c>
      <c r="G75" s="6">
        <v>100</v>
      </c>
      <c r="H75" s="4">
        <v>526.80999999999995</v>
      </c>
      <c r="I75" t="s">
        <v>68</v>
      </c>
      <c r="J75" s="5">
        <v>46039</v>
      </c>
      <c r="K75" s="6">
        <v>60</v>
      </c>
    </row>
    <row r="76" spans="1:11">
      <c r="A76" t="s">
        <v>162</v>
      </c>
      <c r="B76" t="s">
        <v>129</v>
      </c>
      <c r="C76" t="s">
        <v>42</v>
      </c>
      <c r="D76" t="s">
        <v>25</v>
      </c>
      <c r="E76" s="6">
        <v>221</v>
      </c>
      <c r="F76" s="6">
        <v>100</v>
      </c>
      <c r="G76" s="6">
        <v>300</v>
      </c>
      <c r="H76" s="4">
        <v>456.08</v>
      </c>
      <c r="I76" t="s">
        <v>43</v>
      </c>
      <c r="J76" s="5">
        <v>46155</v>
      </c>
      <c r="K76" s="6">
        <v>7</v>
      </c>
    </row>
    <row r="77" spans="1:11">
      <c r="A77" t="s">
        <v>163</v>
      </c>
      <c r="B77" t="s">
        <v>133</v>
      </c>
      <c r="C77" t="s">
        <v>52</v>
      </c>
      <c r="D77" t="s">
        <v>25</v>
      </c>
      <c r="E77" s="6">
        <v>119</v>
      </c>
      <c r="F77" s="6">
        <v>100</v>
      </c>
      <c r="G77" s="6">
        <v>300</v>
      </c>
      <c r="H77" s="4">
        <v>549.23</v>
      </c>
      <c r="I77" t="s">
        <v>49</v>
      </c>
      <c r="J77" s="5">
        <v>46164</v>
      </c>
      <c r="K77" s="6">
        <v>10</v>
      </c>
    </row>
    <row r="78" spans="1:11">
      <c r="A78" t="s">
        <v>164</v>
      </c>
      <c r="B78" t="s">
        <v>165</v>
      </c>
      <c r="C78" t="s">
        <v>42</v>
      </c>
      <c r="D78" t="s">
        <v>65</v>
      </c>
      <c r="E78" s="6">
        <v>6</v>
      </c>
      <c r="F78" s="6">
        <v>10</v>
      </c>
      <c r="G78" s="6">
        <v>40</v>
      </c>
      <c r="H78" s="4">
        <v>576.99</v>
      </c>
      <c r="I78" t="s">
        <v>34</v>
      </c>
      <c r="J78" s="5">
        <v>46069</v>
      </c>
      <c r="K78" s="6">
        <v>21</v>
      </c>
    </row>
    <row r="79" spans="1:11">
      <c r="A79" t="s">
        <v>166</v>
      </c>
      <c r="B79" t="s">
        <v>80</v>
      </c>
      <c r="C79" t="s">
        <v>62</v>
      </c>
      <c r="D79" t="s">
        <v>65</v>
      </c>
      <c r="E79" s="6">
        <v>631</v>
      </c>
      <c r="F79" s="6">
        <v>100</v>
      </c>
      <c r="G79" s="6">
        <v>600</v>
      </c>
      <c r="H79" s="4">
        <v>580.13</v>
      </c>
      <c r="I79" t="s">
        <v>26</v>
      </c>
      <c r="J79" s="5">
        <v>46149</v>
      </c>
      <c r="K79" s="6">
        <v>45</v>
      </c>
    </row>
    <row r="80" spans="1:11">
      <c r="A80" t="s">
        <v>167</v>
      </c>
      <c r="B80" t="s">
        <v>113</v>
      </c>
      <c r="C80" t="s">
        <v>56</v>
      </c>
      <c r="D80" t="s">
        <v>25</v>
      </c>
      <c r="E80" s="6">
        <v>2</v>
      </c>
      <c r="F80" s="6">
        <v>20</v>
      </c>
      <c r="G80" s="6">
        <v>80</v>
      </c>
      <c r="H80" s="4">
        <v>150.81</v>
      </c>
      <c r="I80" t="s">
        <v>30</v>
      </c>
      <c r="J80" s="5">
        <v>46087</v>
      </c>
      <c r="K80" s="6">
        <v>45</v>
      </c>
    </row>
    <row r="81" spans="1:11">
      <c r="A81" t="s">
        <v>168</v>
      </c>
      <c r="B81" t="s">
        <v>169</v>
      </c>
      <c r="C81" t="s">
        <v>33</v>
      </c>
      <c r="D81" t="s">
        <v>65</v>
      </c>
      <c r="E81" s="6">
        <v>50</v>
      </c>
      <c r="F81" s="6">
        <v>10</v>
      </c>
      <c r="G81" s="6">
        <v>40</v>
      </c>
      <c r="H81" s="4">
        <v>668.58</v>
      </c>
      <c r="I81" t="s">
        <v>53</v>
      </c>
      <c r="J81" s="5">
        <v>46184</v>
      </c>
      <c r="K81" s="6">
        <v>45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Lists!$A$2:$A$8</xm:f>
          </x14:formula1>
          <xm:sqref>C2:C200</xm:sqref>
        </x14:dataValidation>
        <x14:dataValidation type="list" xr:uid="{00000000-0002-0000-0100-000001000000}">
          <x14:formula1>
            <xm:f>Lists!$B$2:$B$6</xm:f>
          </x14:formula1>
          <xm:sqref>D2:D200</xm:sqref>
        </x14:dataValidation>
        <x14:dataValidation type="list" xr:uid="{00000000-0002-0000-0100-000002000000}">
          <x14:formula1>
            <xm:f>Lists!$C$2:$C$9</xm:f>
          </x14:formula1>
          <xm:sqref>I2:I200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1"/>
  <sheetViews>
    <sheetView topLeftCell="E1" workbookViewId="0">
      <selection activeCell="P11" sqref="P11"/>
    </sheetView>
  </sheetViews>
  <sheetFormatPr defaultRowHeight="14.25"/>
  <cols>
    <col min="1" max="1" width="7.5" customWidth="1"/>
    <col min="2" max="2" width="22" customWidth="1"/>
    <col min="3" max="3" width="9.375" customWidth="1"/>
    <col min="4" max="4" width="10.5" customWidth="1"/>
    <col min="5" max="5" width="16.75" customWidth="1"/>
    <col min="6" max="6" width="12.625" customWidth="1"/>
    <col min="7" max="7" width="14.875" customWidth="1"/>
    <col min="8" max="8" width="9.25" customWidth="1"/>
    <col min="9" max="9" width="22" customWidth="1"/>
    <col min="10" max="10" width="16.25" customWidth="1"/>
    <col min="11" max="11" width="15.625" customWidth="1"/>
    <col min="12" max="12" width="15.75" customWidth="1"/>
    <col min="13" max="13" width="15.875" bestFit="1" customWidth="1"/>
    <col min="14" max="14" width="16.25" customWidth="1"/>
    <col min="15" max="15" width="18.5" customWidth="1"/>
    <col min="16" max="17" width="22" customWidth="1"/>
  </cols>
  <sheetData>
    <row r="1" spans="1:17" ht="30">
      <c r="A1" s="13" t="s">
        <v>11</v>
      </c>
      <c r="B1" s="13" t="s">
        <v>12</v>
      </c>
      <c r="C1" s="13" t="s">
        <v>13</v>
      </c>
      <c r="D1" s="13" t="s">
        <v>14</v>
      </c>
      <c r="E1" s="13" t="s">
        <v>15</v>
      </c>
      <c r="F1" s="13" t="s">
        <v>16</v>
      </c>
      <c r="G1" s="13" t="s">
        <v>17</v>
      </c>
      <c r="H1" s="13" t="s">
        <v>18</v>
      </c>
      <c r="I1" s="13" t="s">
        <v>19</v>
      </c>
      <c r="J1" s="13" t="s">
        <v>20</v>
      </c>
      <c r="K1" s="13" t="s">
        <v>21</v>
      </c>
      <c r="L1" s="13" t="s">
        <v>170</v>
      </c>
      <c r="M1" s="13" t="s">
        <v>171</v>
      </c>
      <c r="N1" s="13" t="s">
        <v>172</v>
      </c>
      <c r="O1" s="13" t="s">
        <v>173</v>
      </c>
      <c r="P1" s="13" t="s">
        <v>174</v>
      </c>
      <c r="Q1" s="13" t="s">
        <v>175</v>
      </c>
    </row>
    <row r="2" spans="1:17">
      <c r="A2" t="str">
        <f>Raw_Data!A2</f>
        <v>PK-1001</v>
      </c>
      <c r="B2" t="str">
        <f>Raw_Data!B2</f>
        <v>Shipping Foam A</v>
      </c>
      <c r="C2" t="str">
        <f>Raw_Data!C2</f>
        <v>Packaging</v>
      </c>
      <c r="D2" t="str">
        <f>Raw_Data!D2</f>
        <v>Dallas</v>
      </c>
      <c r="E2" s="6">
        <f>Raw_Data!E2</f>
        <v>411</v>
      </c>
      <c r="F2" s="6">
        <f>Raw_Data!F2</f>
        <v>75</v>
      </c>
      <c r="G2" s="6">
        <f>Raw_Data!G2</f>
        <v>375</v>
      </c>
      <c r="H2" s="4">
        <f>Raw_Data!H2</f>
        <v>700.31</v>
      </c>
      <c r="I2" t="str">
        <f>Raw_Data!I2</f>
        <v>Lone Star Industrial</v>
      </c>
      <c r="J2" s="5">
        <f>Raw_Data!J2</f>
        <v>46051</v>
      </c>
      <c r="K2" s="6">
        <f>Raw_Data!K2</f>
        <v>21</v>
      </c>
      <c r="L2" s="4">
        <f t="shared" ref="L2:L33" si="0">E2*H2</f>
        <v>287827.40999999997</v>
      </c>
      <c r="M2" t="str">
        <f t="shared" ref="M2:M33" si="1">IF(E2&lt;=F2,"Reorder Needed","OK")</f>
        <v>OK</v>
      </c>
      <c r="N2" t="str">
        <f t="shared" ref="N2:N33" si="2">IF(E2&gt;G2,"Overstock","OK")</f>
        <v>Overstock</v>
      </c>
      <c r="O2" s="7">
        <f t="shared" ref="O2:O33" ca="1" si="3">TODAY()-J2</f>
        <v>153</v>
      </c>
      <c r="P2" t="str">
        <f t="shared" ref="P2:P33" ca="1" si="4">IF(O2&lt;=30,"0-30 days",IF(O2&lt;=60,"31-60 days",IF(O2&lt;=90,"61-90 days","90+ days")))</f>
        <v>90+ days</v>
      </c>
      <c r="Q2" t="str">
        <f t="shared" ref="Q2:Q33" si="5">IF(M2="Reorder Needed","Low Stock",IF(N2="Overstock","Overstock",IF(P2="90+ days","Aging Risk","OK")))</f>
        <v>Overstock</v>
      </c>
    </row>
    <row r="3" spans="1:17">
      <c r="A3" t="str">
        <f>Raw_Data!A3</f>
        <v>EL-1002</v>
      </c>
      <c r="B3" t="str">
        <f>Raw_Data!B3</f>
        <v>Circuit Breaker A</v>
      </c>
      <c r="C3" t="str">
        <f>Raw_Data!C3</f>
        <v>Electrical</v>
      </c>
      <c r="D3" t="str">
        <f>Raw_Data!D3</f>
        <v>Dallas</v>
      </c>
      <c r="E3" s="6">
        <f>Raw_Data!E3</f>
        <v>22</v>
      </c>
      <c r="F3" s="6">
        <f>Raw_Data!F3</f>
        <v>20</v>
      </c>
      <c r="G3" s="6">
        <f>Raw_Data!G3</f>
        <v>80</v>
      </c>
      <c r="H3" s="4">
        <f>Raw_Data!H3</f>
        <v>534.28</v>
      </c>
      <c r="I3" t="str">
        <f>Raw_Data!I3</f>
        <v>Precision Pack &amp; Ship</v>
      </c>
      <c r="J3" s="5">
        <f>Raw_Data!J3</f>
        <v>46146</v>
      </c>
      <c r="K3" s="6">
        <f>Raw_Data!K3</f>
        <v>21</v>
      </c>
      <c r="L3" s="4">
        <f t="shared" si="0"/>
        <v>11754.16</v>
      </c>
      <c r="M3" t="str">
        <f t="shared" si="1"/>
        <v>OK</v>
      </c>
      <c r="N3" t="str">
        <f t="shared" si="2"/>
        <v>OK</v>
      </c>
      <c r="O3" s="7">
        <f t="shared" ca="1" si="3"/>
        <v>58</v>
      </c>
      <c r="P3" t="str">
        <f t="shared" ca="1" si="4"/>
        <v>31-60 days</v>
      </c>
      <c r="Q3" t="str">
        <f t="shared" ca="1" si="5"/>
        <v>OK</v>
      </c>
    </row>
    <row r="4" spans="1:17">
      <c r="A4" t="str">
        <f>Raw_Data!A4</f>
        <v>AV-1003</v>
      </c>
      <c r="B4" t="str">
        <f>Raw_Data!B4</f>
        <v>Control Relay C</v>
      </c>
      <c r="C4" t="str">
        <f>Raw_Data!C4</f>
        <v>Avionics</v>
      </c>
      <c r="D4" t="str">
        <f>Raw_Data!D4</f>
        <v>Dallas</v>
      </c>
      <c r="E4" s="6">
        <f>Raw_Data!E4</f>
        <v>275</v>
      </c>
      <c r="F4" s="6">
        <f>Raw_Data!F4</f>
        <v>100</v>
      </c>
      <c r="G4" s="6">
        <f>Raw_Data!G4</f>
        <v>400</v>
      </c>
      <c r="H4" s="4">
        <f>Raw_Data!H4</f>
        <v>265.77999999999997</v>
      </c>
      <c r="I4" t="str">
        <f>Raw_Data!I4</f>
        <v>Vector Components</v>
      </c>
      <c r="J4" s="5">
        <f>Raw_Data!J4</f>
        <v>46116</v>
      </c>
      <c r="K4" s="6">
        <f>Raw_Data!K4</f>
        <v>7</v>
      </c>
      <c r="L4" s="4">
        <f t="shared" si="0"/>
        <v>73089.499999999985</v>
      </c>
      <c r="M4" t="str">
        <f t="shared" si="1"/>
        <v>OK</v>
      </c>
      <c r="N4" t="str">
        <f t="shared" si="2"/>
        <v>OK</v>
      </c>
      <c r="O4" s="7">
        <f t="shared" ca="1" si="3"/>
        <v>88</v>
      </c>
      <c r="P4" t="str">
        <f t="shared" ca="1" si="4"/>
        <v>61-90 days</v>
      </c>
      <c r="Q4" t="str">
        <f t="shared" ca="1" si="5"/>
        <v>OK</v>
      </c>
    </row>
    <row r="5" spans="1:17">
      <c r="A5" t="str">
        <f>Raw_Data!A5</f>
        <v>EL-1004</v>
      </c>
      <c r="B5" t="str">
        <f>Raw_Data!B5</f>
        <v>Wire Harness D</v>
      </c>
      <c r="C5" t="str">
        <f>Raw_Data!C5</f>
        <v>Electrical</v>
      </c>
      <c r="D5" t="str">
        <f>Raw_Data!D5</f>
        <v>Dallas</v>
      </c>
      <c r="E5" s="6">
        <f>Raw_Data!E5</f>
        <v>31</v>
      </c>
      <c r="F5" s="6">
        <f>Raw_Data!F5</f>
        <v>25</v>
      </c>
      <c r="G5" s="6">
        <f>Raw_Data!G5</f>
        <v>125</v>
      </c>
      <c r="H5" s="4">
        <f>Raw_Data!H5</f>
        <v>693.92</v>
      </c>
      <c r="I5" t="str">
        <f>Raw_Data!I5</f>
        <v>Lone Star Industrial</v>
      </c>
      <c r="J5" s="5">
        <f>Raw_Data!J5</f>
        <v>46106</v>
      </c>
      <c r="K5" s="6">
        <f>Raw_Data!K5</f>
        <v>7</v>
      </c>
      <c r="L5" s="4">
        <f t="shared" si="0"/>
        <v>21511.52</v>
      </c>
      <c r="M5" t="str">
        <f t="shared" si="1"/>
        <v>OK</v>
      </c>
      <c r="N5" t="str">
        <f t="shared" si="2"/>
        <v>OK</v>
      </c>
      <c r="O5" s="7">
        <f t="shared" ca="1" si="3"/>
        <v>98</v>
      </c>
      <c r="P5" t="str">
        <f t="shared" ca="1" si="4"/>
        <v>90+ days</v>
      </c>
      <c r="Q5" t="str">
        <f t="shared" ca="1" si="5"/>
        <v>Aging Risk</v>
      </c>
    </row>
    <row r="6" spans="1:17">
      <c r="A6" t="str">
        <f>Raw_Data!A6</f>
        <v>AV-1005</v>
      </c>
      <c r="B6" t="str">
        <f>Raw_Data!B6</f>
        <v>Sensor Module C</v>
      </c>
      <c r="C6" t="str">
        <f>Raw_Data!C6</f>
        <v>Avionics</v>
      </c>
      <c r="D6" t="str">
        <f>Raw_Data!D6</f>
        <v>San Antonio</v>
      </c>
      <c r="E6" s="6">
        <f>Raw_Data!E6</f>
        <v>461</v>
      </c>
      <c r="F6" s="6">
        <f>Raw_Data!F6</f>
        <v>100</v>
      </c>
      <c r="G6" s="6">
        <f>Raw_Data!G6</f>
        <v>500</v>
      </c>
      <c r="H6" s="4">
        <f>Raw_Data!H6</f>
        <v>68.400000000000006</v>
      </c>
      <c r="I6" t="str">
        <f>Raw_Data!I6</f>
        <v>Vector Components</v>
      </c>
      <c r="J6" s="5">
        <f>Raw_Data!J6</f>
        <v>46128</v>
      </c>
      <c r="K6" s="6">
        <f>Raw_Data!K6</f>
        <v>7</v>
      </c>
      <c r="L6" s="4">
        <f t="shared" si="0"/>
        <v>31532.400000000001</v>
      </c>
      <c r="M6" t="str">
        <f t="shared" si="1"/>
        <v>OK</v>
      </c>
      <c r="N6" t="str">
        <f t="shared" si="2"/>
        <v>OK</v>
      </c>
      <c r="O6" s="7">
        <f t="shared" ca="1" si="3"/>
        <v>76</v>
      </c>
      <c r="P6" t="str">
        <f t="shared" ca="1" si="4"/>
        <v>61-90 days</v>
      </c>
      <c r="Q6" t="str">
        <f t="shared" ca="1" si="5"/>
        <v>OK</v>
      </c>
    </row>
    <row r="7" spans="1:17">
      <c r="A7" t="str">
        <f>Raw_Data!A7</f>
        <v>TL-1006</v>
      </c>
      <c r="B7" t="str">
        <f>Raw_Data!B7</f>
        <v>Inspection Gauge B</v>
      </c>
      <c r="C7" t="str">
        <f>Raw_Data!C7</f>
        <v>Tools</v>
      </c>
      <c r="D7" t="str">
        <f>Raw_Data!D7</f>
        <v>Dallas</v>
      </c>
      <c r="E7" s="6">
        <f>Raw_Data!E7</f>
        <v>137</v>
      </c>
      <c r="F7" s="6">
        <f>Raw_Data!F7</f>
        <v>30</v>
      </c>
      <c r="G7" s="6">
        <f>Raw_Data!G7</f>
        <v>150</v>
      </c>
      <c r="H7" s="4">
        <f>Raw_Data!H7</f>
        <v>348.18</v>
      </c>
      <c r="I7" t="str">
        <f>Raw_Data!I7</f>
        <v>Skyway Parts LLC</v>
      </c>
      <c r="J7" s="5">
        <f>Raw_Data!J7</f>
        <v>46112</v>
      </c>
      <c r="K7" s="6">
        <f>Raw_Data!K7</f>
        <v>10</v>
      </c>
      <c r="L7" s="4">
        <f t="shared" si="0"/>
        <v>47700.66</v>
      </c>
      <c r="M7" t="str">
        <f t="shared" si="1"/>
        <v>OK</v>
      </c>
      <c r="N7" t="str">
        <f t="shared" si="2"/>
        <v>OK</v>
      </c>
      <c r="O7" s="7">
        <f t="shared" ca="1" si="3"/>
        <v>92</v>
      </c>
      <c r="P7" t="str">
        <f t="shared" ca="1" si="4"/>
        <v>90+ days</v>
      </c>
      <c r="Q7" t="str">
        <f t="shared" ca="1" si="5"/>
        <v>Aging Risk</v>
      </c>
    </row>
    <row r="8" spans="1:17">
      <c r="A8" t="str">
        <f>Raw_Data!A8</f>
        <v>PK-1007</v>
      </c>
      <c r="B8" t="str">
        <f>Raw_Data!B8</f>
        <v>Shipping Foam C</v>
      </c>
      <c r="C8" t="str">
        <f>Raw_Data!C8</f>
        <v>Packaging</v>
      </c>
      <c r="D8" t="str">
        <f>Raw_Data!D8</f>
        <v>Dallas</v>
      </c>
      <c r="E8" s="6">
        <f>Raw_Data!E8</f>
        <v>113</v>
      </c>
      <c r="F8" s="6">
        <f>Raw_Data!F8</f>
        <v>50</v>
      </c>
      <c r="G8" s="6">
        <f>Raw_Data!G8</f>
        <v>200</v>
      </c>
      <c r="H8" s="4">
        <f>Raw_Data!H8</f>
        <v>157.32</v>
      </c>
      <c r="I8" t="str">
        <f>Raw_Data!I8</f>
        <v>Precision Pack &amp; Ship</v>
      </c>
      <c r="J8" s="5">
        <f>Raw_Data!J8</f>
        <v>46133</v>
      </c>
      <c r="K8" s="6">
        <f>Raw_Data!K8</f>
        <v>45</v>
      </c>
      <c r="L8" s="4">
        <f t="shared" si="0"/>
        <v>17777.16</v>
      </c>
      <c r="M8" t="str">
        <f t="shared" si="1"/>
        <v>OK</v>
      </c>
      <c r="N8" t="str">
        <f t="shared" si="2"/>
        <v>OK</v>
      </c>
      <c r="O8" s="7">
        <f t="shared" ca="1" si="3"/>
        <v>71</v>
      </c>
      <c r="P8" t="str">
        <f t="shared" ca="1" si="4"/>
        <v>61-90 days</v>
      </c>
      <c r="Q8" t="str">
        <f t="shared" ca="1" si="5"/>
        <v>OK</v>
      </c>
    </row>
    <row r="9" spans="1:17">
      <c r="A9" t="str">
        <f>Raw_Data!A9</f>
        <v>PK-1008</v>
      </c>
      <c r="B9" t="str">
        <f>Raw_Data!B9</f>
        <v>Crate Insert XL</v>
      </c>
      <c r="C9" t="str">
        <f>Raw_Data!C9</f>
        <v>Packaging</v>
      </c>
      <c r="D9" t="str">
        <f>Raw_Data!D9</f>
        <v>Fort Worth</v>
      </c>
      <c r="E9" s="6">
        <f>Raw_Data!E9</f>
        <v>104</v>
      </c>
      <c r="F9" s="6">
        <f>Raw_Data!F9</f>
        <v>75</v>
      </c>
      <c r="G9" s="6">
        <f>Raw_Data!G9</f>
        <v>375</v>
      </c>
      <c r="H9" s="4">
        <f>Raw_Data!H9</f>
        <v>219.52</v>
      </c>
      <c r="I9" t="str">
        <f>Raw_Data!I9</f>
        <v>AeroFast Supply Co.</v>
      </c>
      <c r="J9" s="5">
        <f>Raw_Data!J9</f>
        <v>46122</v>
      </c>
      <c r="K9" s="6">
        <f>Raw_Data!K9</f>
        <v>21</v>
      </c>
      <c r="L9" s="4">
        <f t="shared" si="0"/>
        <v>22830.080000000002</v>
      </c>
      <c r="M9" t="str">
        <f t="shared" si="1"/>
        <v>OK</v>
      </c>
      <c r="N9" t="str">
        <f t="shared" si="2"/>
        <v>OK</v>
      </c>
      <c r="O9" s="7">
        <f t="shared" ca="1" si="3"/>
        <v>82</v>
      </c>
      <c r="P9" t="str">
        <f t="shared" ca="1" si="4"/>
        <v>61-90 days</v>
      </c>
      <c r="Q9" t="str">
        <f t="shared" ca="1" si="5"/>
        <v>OK</v>
      </c>
    </row>
    <row r="10" spans="1:17">
      <c r="A10" t="str">
        <f>Raw_Data!A10</f>
        <v>HW-1009</v>
      </c>
      <c r="B10" t="str">
        <f>Raw_Data!B10</f>
        <v>Titanium Bolt A</v>
      </c>
      <c r="C10" t="str">
        <f>Raw_Data!C10</f>
        <v>Hardware</v>
      </c>
      <c r="D10" t="str">
        <f>Raw_Data!D10</f>
        <v>Fort Worth</v>
      </c>
      <c r="E10" s="6">
        <f>Raw_Data!E10</f>
        <v>378</v>
      </c>
      <c r="F10" s="6">
        <f>Raw_Data!F10</f>
        <v>50</v>
      </c>
      <c r="G10" s="6">
        <f>Raw_Data!G10</f>
        <v>250</v>
      </c>
      <c r="H10" s="4">
        <f>Raw_Data!H10</f>
        <v>377.36</v>
      </c>
      <c r="I10" t="str">
        <f>Raw_Data!I10</f>
        <v>DFW Tooling Supply</v>
      </c>
      <c r="J10" s="5">
        <f>Raw_Data!J10</f>
        <v>46166</v>
      </c>
      <c r="K10" s="6">
        <f>Raw_Data!K10</f>
        <v>14</v>
      </c>
      <c r="L10" s="4">
        <f t="shared" si="0"/>
        <v>142642.08000000002</v>
      </c>
      <c r="M10" t="str">
        <f t="shared" si="1"/>
        <v>OK</v>
      </c>
      <c r="N10" t="str">
        <f t="shared" si="2"/>
        <v>Overstock</v>
      </c>
      <c r="O10" s="7">
        <f t="shared" ca="1" si="3"/>
        <v>38</v>
      </c>
      <c r="P10" t="str">
        <f t="shared" ca="1" si="4"/>
        <v>31-60 days</v>
      </c>
      <c r="Q10" t="str">
        <f t="shared" si="5"/>
        <v>Overstock</v>
      </c>
    </row>
    <row r="11" spans="1:17">
      <c r="A11" t="str">
        <f>Raw_Data!A11</f>
        <v>HY-1010</v>
      </c>
      <c r="B11" t="str">
        <f>Raw_Data!B11</f>
        <v>Hydraulic Fitting B</v>
      </c>
      <c r="C11" t="str">
        <f>Raw_Data!C11</f>
        <v>Hydraulic</v>
      </c>
      <c r="D11" t="str">
        <f>Raw_Data!D11</f>
        <v>San Antonio</v>
      </c>
      <c r="E11" s="6">
        <f>Raw_Data!E11</f>
        <v>160</v>
      </c>
      <c r="F11" s="6">
        <f>Raw_Data!F11</f>
        <v>50</v>
      </c>
      <c r="G11" s="6">
        <f>Raw_Data!G11</f>
        <v>250</v>
      </c>
      <c r="H11" s="4">
        <f>Raw_Data!H11</f>
        <v>853.19</v>
      </c>
      <c r="I11" t="str">
        <f>Raw_Data!I11</f>
        <v>Precision Pack &amp; Ship</v>
      </c>
      <c r="J11" s="5">
        <f>Raw_Data!J11</f>
        <v>46110</v>
      </c>
      <c r="K11" s="6">
        <f>Raw_Data!K11</f>
        <v>10</v>
      </c>
      <c r="L11" s="4">
        <f t="shared" si="0"/>
        <v>136510.40000000002</v>
      </c>
      <c r="M11" t="str">
        <f t="shared" si="1"/>
        <v>OK</v>
      </c>
      <c r="N11" t="str">
        <f t="shared" si="2"/>
        <v>OK</v>
      </c>
      <c r="O11" s="7">
        <f t="shared" ca="1" si="3"/>
        <v>94</v>
      </c>
      <c r="P11" t="str">
        <f t="shared" ca="1" si="4"/>
        <v>90+ days</v>
      </c>
      <c r="Q11" t="str">
        <f t="shared" ca="1" si="5"/>
        <v>Aging Risk</v>
      </c>
    </row>
    <row r="12" spans="1:17">
      <c r="A12" t="str">
        <f>Raw_Data!A12</f>
        <v>HY-1011</v>
      </c>
      <c r="B12" t="str">
        <f>Raw_Data!B12</f>
        <v>Hydraulic Fitting XL</v>
      </c>
      <c r="C12" t="str">
        <f>Raw_Data!C12</f>
        <v>Hydraulic</v>
      </c>
      <c r="D12" t="str">
        <f>Raw_Data!D12</f>
        <v>Houston</v>
      </c>
      <c r="E12" s="6">
        <f>Raw_Data!E12</f>
        <v>15</v>
      </c>
      <c r="F12" s="6">
        <f>Raw_Data!F12</f>
        <v>10</v>
      </c>
      <c r="G12" s="6">
        <f>Raw_Data!G12</f>
        <v>30</v>
      </c>
      <c r="H12" s="4">
        <f>Raw_Data!H12</f>
        <v>597.01</v>
      </c>
      <c r="I12" t="str">
        <f>Raw_Data!I12</f>
        <v>Precision Pack &amp; Ship</v>
      </c>
      <c r="J12" s="5">
        <f>Raw_Data!J12</f>
        <v>46050</v>
      </c>
      <c r="K12" s="6">
        <f>Raw_Data!K12</f>
        <v>7</v>
      </c>
      <c r="L12" s="4">
        <f t="shared" si="0"/>
        <v>8955.15</v>
      </c>
      <c r="M12" t="str">
        <f t="shared" si="1"/>
        <v>OK</v>
      </c>
      <c r="N12" t="str">
        <f t="shared" si="2"/>
        <v>OK</v>
      </c>
      <c r="O12" s="7">
        <f t="shared" ca="1" si="3"/>
        <v>154</v>
      </c>
      <c r="P12" t="str">
        <f t="shared" ca="1" si="4"/>
        <v>90+ days</v>
      </c>
      <c r="Q12" t="str">
        <f t="shared" ca="1" si="5"/>
        <v>Aging Risk</v>
      </c>
    </row>
    <row r="13" spans="1:17">
      <c r="A13" t="str">
        <f>Raw_Data!A13</f>
        <v>CH-1012</v>
      </c>
      <c r="B13" t="str">
        <f>Raw_Data!B13</f>
        <v>Solvent Cleaner D</v>
      </c>
      <c r="C13" t="str">
        <f>Raw_Data!C13</f>
        <v>Chemical</v>
      </c>
      <c r="D13" t="str">
        <f>Raw_Data!D13</f>
        <v>San Antonio</v>
      </c>
      <c r="E13" s="6">
        <f>Raw_Data!E13</f>
        <v>141</v>
      </c>
      <c r="F13" s="6">
        <f>Raw_Data!F13</f>
        <v>30</v>
      </c>
      <c r="G13" s="6">
        <f>Raw_Data!G13</f>
        <v>150</v>
      </c>
      <c r="H13" s="4">
        <f>Raw_Data!H13</f>
        <v>895.45</v>
      </c>
      <c r="I13" t="str">
        <f>Raw_Data!I13</f>
        <v>Lone Star Industrial</v>
      </c>
      <c r="J13" s="5">
        <f>Raw_Data!J13</f>
        <v>46028</v>
      </c>
      <c r="K13" s="6">
        <f>Raw_Data!K13</f>
        <v>30</v>
      </c>
      <c r="L13" s="4">
        <f t="shared" si="0"/>
        <v>126258.45000000001</v>
      </c>
      <c r="M13" t="str">
        <f t="shared" si="1"/>
        <v>OK</v>
      </c>
      <c r="N13" t="str">
        <f t="shared" si="2"/>
        <v>OK</v>
      </c>
      <c r="O13" s="7">
        <f t="shared" ca="1" si="3"/>
        <v>176</v>
      </c>
      <c r="P13" t="str">
        <f t="shared" ca="1" si="4"/>
        <v>90+ days</v>
      </c>
      <c r="Q13" t="str">
        <f t="shared" ca="1" si="5"/>
        <v>Aging Risk</v>
      </c>
    </row>
    <row r="14" spans="1:17">
      <c r="A14" t="str">
        <f>Raw_Data!A14</f>
        <v>TL-1013</v>
      </c>
      <c r="B14" t="str">
        <f>Raw_Data!B14</f>
        <v>Torque Wrench C</v>
      </c>
      <c r="C14" t="str">
        <f>Raw_Data!C14</f>
        <v>Tools</v>
      </c>
      <c r="D14" t="str">
        <f>Raw_Data!D14</f>
        <v>Austin</v>
      </c>
      <c r="E14" s="6">
        <f>Raw_Data!E14</f>
        <v>40</v>
      </c>
      <c r="F14" s="6">
        <f>Raw_Data!F14</f>
        <v>10</v>
      </c>
      <c r="G14" s="6">
        <f>Raw_Data!G14</f>
        <v>50</v>
      </c>
      <c r="H14" s="4">
        <f>Raw_Data!H14</f>
        <v>5.57</v>
      </c>
      <c r="I14" t="str">
        <f>Raw_Data!I14</f>
        <v>Northline Chemicals</v>
      </c>
      <c r="J14" s="5">
        <f>Raw_Data!J14</f>
        <v>46074</v>
      </c>
      <c r="K14" s="6">
        <f>Raw_Data!K14</f>
        <v>60</v>
      </c>
      <c r="L14" s="4">
        <f t="shared" si="0"/>
        <v>222.8</v>
      </c>
      <c r="M14" t="str">
        <f t="shared" si="1"/>
        <v>OK</v>
      </c>
      <c r="N14" t="str">
        <f t="shared" si="2"/>
        <v>OK</v>
      </c>
      <c r="O14" s="7">
        <f t="shared" ca="1" si="3"/>
        <v>130</v>
      </c>
      <c r="P14" t="str">
        <f t="shared" ca="1" si="4"/>
        <v>90+ days</v>
      </c>
      <c r="Q14" t="str">
        <f t="shared" ca="1" si="5"/>
        <v>Aging Risk</v>
      </c>
    </row>
    <row r="15" spans="1:17">
      <c r="A15" t="str">
        <f>Raw_Data!A15</f>
        <v>HY-1014</v>
      </c>
      <c r="B15" t="str">
        <f>Raw_Data!B15</f>
        <v>Hydraulic Fitting XL</v>
      </c>
      <c r="C15" t="str">
        <f>Raw_Data!C15</f>
        <v>Hydraulic</v>
      </c>
      <c r="D15" t="str">
        <f>Raw_Data!D15</f>
        <v>Dallas</v>
      </c>
      <c r="E15" s="6">
        <f>Raw_Data!E15</f>
        <v>360</v>
      </c>
      <c r="F15" s="6">
        <f>Raw_Data!F15</f>
        <v>100</v>
      </c>
      <c r="G15" s="6">
        <f>Raw_Data!G15</f>
        <v>500</v>
      </c>
      <c r="H15" s="4">
        <f>Raw_Data!H15</f>
        <v>579.5</v>
      </c>
      <c r="I15" t="str">
        <f>Raw_Data!I15</f>
        <v>Metro Hardware Group</v>
      </c>
      <c r="J15" s="5">
        <f>Raw_Data!J15</f>
        <v>46107</v>
      </c>
      <c r="K15" s="6">
        <f>Raw_Data!K15</f>
        <v>60</v>
      </c>
      <c r="L15" s="4">
        <f t="shared" si="0"/>
        <v>208620</v>
      </c>
      <c r="M15" t="str">
        <f t="shared" si="1"/>
        <v>OK</v>
      </c>
      <c r="N15" t="str">
        <f t="shared" si="2"/>
        <v>OK</v>
      </c>
      <c r="O15" s="7">
        <f t="shared" ca="1" si="3"/>
        <v>97</v>
      </c>
      <c r="P15" t="str">
        <f t="shared" ca="1" si="4"/>
        <v>90+ days</v>
      </c>
      <c r="Q15" t="str">
        <f t="shared" ca="1" si="5"/>
        <v>Aging Risk</v>
      </c>
    </row>
    <row r="16" spans="1:17">
      <c r="A16" t="str">
        <f>Raw_Data!A16</f>
        <v>HY-1015</v>
      </c>
      <c r="B16" t="str">
        <f>Raw_Data!B16</f>
        <v>Hydraulic Fitting XL</v>
      </c>
      <c r="C16" t="str">
        <f>Raw_Data!C16</f>
        <v>Hydraulic</v>
      </c>
      <c r="D16" t="str">
        <f>Raw_Data!D16</f>
        <v>San Antonio</v>
      </c>
      <c r="E16" s="6">
        <f>Raw_Data!E16</f>
        <v>18</v>
      </c>
      <c r="F16" s="6">
        <f>Raw_Data!F16</f>
        <v>10</v>
      </c>
      <c r="G16" s="6">
        <f>Raw_Data!G16</f>
        <v>50</v>
      </c>
      <c r="H16" s="4">
        <f>Raw_Data!H16</f>
        <v>882.82</v>
      </c>
      <c r="I16" t="str">
        <f>Raw_Data!I16</f>
        <v>Northline Chemicals</v>
      </c>
      <c r="J16" s="5">
        <f>Raw_Data!J16</f>
        <v>46141</v>
      </c>
      <c r="K16" s="6">
        <f>Raw_Data!K16</f>
        <v>7</v>
      </c>
      <c r="L16" s="4">
        <f t="shared" si="0"/>
        <v>15890.76</v>
      </c>
      <c r="M16" t="str">
        <f t="shared" si="1"/>
        <v>OK</v>
      </c>
      <c r="N16" t="str">
        <f t="shared" si="2"/>
        <v>OK</v>
      </c>
      <c r="O16" s="7">
        <f t="shared" ca="1" si="3"/>
        <v>63</v>
      </c>
      <c r="P16" t="str">
        <f t="shared" ca="1" si="4"/>
        <v>61-90 days</v>
      </c>
      <c r="Q16" t="str">
        <f t="shared" ca="1" si="5"/>
        <v>OK</v>
      </c>
    </row>
    <row r="17" spans="1:17">
      <c r="A17" t="str">
        <f>Raw_Data!A17</f>
        <v>HY-1016</v>
      </c>
      <c r="B17" t="str">
        <f>Raw_Data!B17</f>
        <v>O-Ring Seal XL</v>
      </c>
      <c r="C17" t="str">
        <f>Raw_Data!C17</f>
        <v>Hydraulic</v>
      </c>
      <c r="D17" t="str">
        <f>Raw_Data!D17</f>
        <v>Dallas</v>
      </c>
      <c r="E17" s="6">
        <f>Raw_Data!E17</f>
        <v>59</v>
      </c>
      <c r="F17" s="6">
        <f>Raw_Data!F17</f>
        <v>10</v>
      </c>
      <c r="G17" s="6">
        <f>Raw_Data!G17</f>
        <v>60</v>
      </c>
      <c r="H17" s="4">
        <f>Raw_Data!H17</f>
        <v>507.24</v>
      </c>
      <c r="I17" t="str">
        <f>Raw_Data!I17</f>
        <v>Metro Hardware Group</v>
      </c>
      <c r="J17" s="5">
        <f>Raw_Data!J17</f>
        <v>46170</v>
      </c>
      <c r="K17" s="6">
        <f>Raw_Data!K17</f>
        <v>45</v>
      </c>
      <c r="L17" s="4">
        <f t="shared" si="0"/>
        <v>29927.16</v>
      </c>
      <c r="M17" t="str">
        <f t="shared" si="1"/>
        <v>OK</v>
      </c>
      <c r="N17" t="str">
        <f t="shared" si="2"/>
        <v>OK</v>
      </c>
      <c r="O17" s="7">
        <f t="shared" ca="1" si="3"/>
        <v>34</v>
      </c>
      <c r="P17" t="str">
        <f t="shared" ca="1" si="4"/>
        <v>31-60 days</v>
      </c>
      <c r="Q17" t="str">
        <f t="shared" ca="1" si="5"/>
        <v>OK</v>
      </c>
    </row>
    <row r="18" spans="1:17">
      <c r="A18" t="str">
        <f>Raw_Data!A18</f>
        <v>CH-1017</v>
      </c>
      <c r="B18" t="str">
        <f>Raw_Data!B18</f>
        <v>Primer Coating XL</v>
      </c>
      <c r="C18" t="str">
        <f>Raw_Data!C18</f>
        <v>Chemical</v>
      </c>
      <c r="D18" t="str">
        <f>Raw_Data!D18</f>
        <v>Fort Worth</v>
      </c>
      <c r="E18" s="6">
        <f>Raw_Data!E18</f>
        <v>144</v>
      </c>
      <c r="F18" s="6">
        <f>Raw_Data!F18</f>
        <v>25</v>
      </c>
      <c r="G18" s="6">
        <f>Raw_Data!G18</f>
        <v>150</v>
      </c>
      <c r="H18" s="4">
        <f>Raw_Data!H18</f>
        <v>513.48</v>
      </c>
      <c r="I18" t="str">
        <f>Raw_Data!I18</f>
        <v>Vector Components</v>
      </c>
      <c r="J18" s="5">
        <f>Raw_Data!J18</f>
        <v>46123</v>
      </c>
      <c r="K18" s="6">
        <f>Raw_Data!K18</f>
        <v>21</v>
      </c>
      <c r="L18" s="4">
        <f t="shared" si="0"/>
        <v>73941.119999999995</v>
      </c>
      <c r="M18" t="str">
        <f t="shared" si="1"/>
        <v>OK</v>
      </c>
      <c r="N18" t="str">
        <f t="shared" si="2"/>
        <v>OK</v>
      </c>
      <c r="O18" s="7">
        <f t="shared" ca="1" si="3"/>
        <v>81</v>
      </c>
      <c r="P18" t="str">
        <f t="shared" ca="1" si="4"/>
        <v>61-90 days</v>
      </c>
      <c r="Q18" t="str">
        <f t="shared" ca="1" si="5"/>
        <v>OK</v>
      </c>
    </row>
    <row r="19" spans="1:17">
      <c r="A19" t="str">
        <f>Raw_Data!A19</f>
        <v>PK-1018</v>
      </c>
      <c r="B19" t="str">
        <f>Raw_Data!B19</f>
        <v>Shipping Foam STD</v>
      </c>
      <c r="C19" t="str">
        <f>Raw_Data!C19</f>
        <v>Packaging</v>
      </c>
      <c r="D19" t="str">
        <f>Raw_Data!D19</f>
        <v>Austin</v>
      </c>
      <c r="E19" s="6">
        <f>Raw_Data!E19</f>
        <v>7</v>
      </c>
      <c r="F19" s="6">
        <f>Raw_Data!F19</f>
        <v>30</v>
      </c>
      <c r="G19" s="6">
        <f>Raw_Data!G19</f>
        <v>180</v>
      </c>
      <c r="H19" s="4">
        <f>Raw_Data!H19</f>
        <v>63.16</v>
      </c>
      <c r="I19" t="str">
        <f>Raw_Data!I19</f>
        <v>AeroFast Supply Co.</v>
      </c>
      <c r="J19" s="5">
        <f>Raw_Data!J19</f>
        <v>46052</v>
      </c>
      <c r="K19" s="6">
        <f>Raw_Data!K19</f>
        <v>30</v>
      </c>
      <c r="L19" s="4">
        <f t="shared" si="0"/>
        <v>442.12</v>
      </c>
      <c r="M19" t="str">
        <f t="shared" si="1"/>
        <v>Reorder Needed</v>
      </c>
      <c r="N19" t="str">
        <f t="shared" si="2"/>
        <v>OK</v>
      </c>
      <c r="O19" s="7">
        <f t="shared" ca="1" si="3"/>
        <v>152</v>
      </c>
      <c r="P19" t="str">
        <f t="shared" ca="1" si="4"/>
        <v>90+ days</v>
      </c>
      <c r="Q19" t="str">
        <f t="shared" si="5"/>
        <v>Low Stock</v>
      </c>
    </row>
    <row r="20" spans="1:17">
      <c r="A20" t="str">
        <f>Raw_Data!A20</f>
        <v>HY-1019</v>
      </c>
      <c r="B20" t="str">
        <f>Raw_Data!B20</f>
        <v>O-Ring Seal XL</v>
      </c>
      <c r="C20" t="str">
        <f>Raw_Data!C20</f>
        <v>Hydraulic</v>
      </c>
      <c r="D20" t="str">
        <f>Raw_Data!D20</f>
        <v>Fort Worth</v>
      </c>
      <c r="E20" s="6">
        <f>Raw_Data!E20</f>
        <v>12</v>
      </c>
      <c r="F20" s="6">
        <f>Raw_Data!F20</f>
        <v>10</v>
      </c>
      <c r="G20" s="6">
        <f>Raw_Data!G20</f>
        <v>30</v>
      </c>
      <c r="H20" s="4">
        <f>Raw_Data!H20</f>
        <v>219.42</v>
      </c>
      <c r="I20" t="str">
        <f>Raw_Data!I20</f>
        <v>AeroFast Supply Co.</v>
      </c>
      <c r="J20" s="5">
        <f>Raw_Data!J20</f>
        <v>46118</v>
      </c>
      <c r="K20" s="6">
        <f>Raw_Data!K20</f>
        <v>7</v>
      </c>
      <c r="L20" s="4">
        <f t="shared" si="0"/>
        <v>2633.04</v>
      </c>
      <c r="M20" t="str">
        <f t="shared" si="1"/>
        <v>OK</v>
      </c>
      <c r="N20" t="str">
        <f t="shared" si="2"/>
        <v>OK</v>
      </c>
      <c r="O20" s="7">
        <f t="shared" ca="1" si="3"/>
        <v>86</v>
      </c>
      <c r="P20" t="str">
        <f t="shared" ca="1" si="4"/>
        <v>61-90 days</v>
      </c>
      <c r="Q20" t="str">
        <f t="shared" ca="1" si="5"/>
        <v>OK</v>
      </c>
    </row>
    <row r="21" spans="1:17">
      <c r="A21" t="str">
        <f>Raw_Data!A21</f>
        <v>AV-1020</v>
      </c>
      <c r="B21" t="str">
        <f>Raw_Data!B21</f>
        <v>Sensor Module B</v>
      </c>
      <c r="C21" t="str">
        <f>Raw_Data!C21</f>
        <v>Avionics</v>
      </c>
      <c r="D21" t="str">
        <f>Raw_Data!D21</f>
        <v>Austin</v>
      </c>
      <c r="E21" s="6">
        <f>Raw_Data!E21</f>
        <v>484</v>
      </c>
      <c r="F21" s="6">
        <f>Raw_Data!F21</f>
        <v>75</v>
      </c>
      <c r="G21" s="6">
        <f>Raw_Data!G21</f>
        <v>450</v>
      </c>
      <c r="H21" s="4">
        <f>Raw_Data!H21</f>
        <v>687.88</v>
      </c>
      <c r="I21" t="str">
        <f>Raw_Data!I21</f>
        <v>DFW Tooling Supply</v>
      </c>
      <c r="J21" s="5">
        <f>Raw_Data!J21</f>
        <v>46140</v>
      </c>
      <c r="K21" s="6">
        <f>Raw_Data!K21</f>
        <v>60</v>
      </c>
      <c r="L21" s="4">
        <f t="shared" si="0"/>
        <v>332933.92</v>
      </c>
      <c r="M21" t="str">
        <f t="shared" si="1"/>
        <v>OK</v>
      </c>
      <c r="N21" t="str">
        <f t="shared" si="2"/>
        <v>Overstock</v>
      </c>
      <c r="O21" s="7">
        <f t="shared" ca="1" si="3"/>
        <v>64</v>
      </c>
      <c r="P21" t="str">
        <f t="shared" ca="1" si="4"/>
        <v>61-90 days</v>
      </c>
      <c r="Q21" t="str">
        <f t="shared" si="5"/>
        <v>Overstock</v>
      </c>
    </row>
    <row r="22" spans="1:17">
      <c r="A22" t="str">
        <f>Raw_Data!A22</f>
        <v>CH-1021</v>
      </c>
      <c r="B22" t="str">
        <f>Raw_Data!B22</f>
        <v>Primer Coating D</v>
      </c>
      <c r="C22" t="str">
        <f>Raw_Data!C22</f>
        <v>Chemical</v>
      </c>
      <c r="D22" t="str">
        <f>Raw_Data!D22</f>
        <v>Fort Worth</v>
      </c>
      <c r="E22" s="6">
        <f>Raw_Data!E22</f>
        <v>22</v>
      </c>
      <c r="F22" s="6">
        <f>Raw_Data!F22</f>
        <v>10</v>
      </c>
      <c r="G22" s="6">
        <f>Raw_Data!G22</f>
        <v>30</v>
      </c>
      <c r="H22" s="4">
        <f>Raw_Data!H22</f>
        <v>403.84</v>
      </c>
      <c r="I22" t="str">
        <f>Raw_Data!I22</f>
        <v>DFW Tooling Supply</v>
      </c>
      <c r="J22" s="5">
        <f>Raw_Data!J22</f>
        <v>46189</v>
      </c>
      <c r="K22" s="6">
        <f>Raw_Data!K22</f>
        <v>45</v>
      </c>
      <c r="L22" s="4">
        <f t="shared" si="0"/>
        <v>8884.48</v>
      </c>
      <c r="M22" t="str">
        <f t="shared" si="1"/>
        <v>OK</v>
      </c>
      <c r="N22" t="str">
        <f t="shared" si="2"/>
        <v>OK</v>
      </c>
      <c r="O22" s="7">
        <f t="shared" ca="1" si="3"/>
        <v>15</v>
      </c>
      <c r="P22" t="str">
        <f t="shared" ca="1" si="4"/>
        <v>0-30 days</v>
      </c>
      <c r="Q22" t="str">
        <f t="shared" ca="1" si="5"/>
        <v>OK</v>
      </c>
    </row>
    <row r="23" spans="1:17">
      <c r="A23" t="str">
        <f>Raw_Data!A23</f>
        <v>PK-1022</v>
      </c>
      <c r="B23" t="str">
        <f>Raw_Data!B23</f>
        <v>Shipping Foam STD</v>
      </c>
      <c r="C23" t="str">
        <f>Raw_Data!C23</f>
        <v>Packaging</v>
      </c>
      <c r="D23" t="str">
        <f>Raw_Data!D23</f>
        <v>Dallas</v>
      </c>
      <c r="E23" s="6">
        <f>Raw_Data!E23</f>
        <v>17</v>
      </c>
      <c r="F23" s="6">
        <f>Raw_Data!F23</f>
        <v>10</v>
      </c>
      <c r="G23" s="6">
        <f>Raw_Data!G23</f>
        <v>60</v>
      </c>
      <c r="H23" s="4">
        <f>Raw_Data!H23</f>
        <v>238.1</v>
      </c>
      <c r="I23" t="str">
        <f>Raw_Data!I23</f>
        <v>Vector Components</v>
      </c>
      <c r="J23" s="5">
        <f>Raw_Data!J23</f>
        <v>46065</v>
      </c>
      <c r="K23" s="6">
        <f>Raw_Data!K23</f>
        <v>21</v>
      </c>
      <c r="L23" s="4">
        <f t="shared" si="0"/>
        <v>4047.7</v>
      </c>
      <c r="M23" t="str">
        <f t="shared" si="1"/>
        <v>OK</v>
      </c>
      <c r="N23" t="str">
        <f t="shared" si="2"/>
        <v>OK</v>
      </c>
      <c r="O23" s="7">
        <f t="shared" ca="1" si="3"/>
        <v>139</v>
      </c>
      <c r="P23" t="str">
        <f t="shared" ca="1" si="4"/>
        <v>90+ days</v>
      </c>
      <c r="Q23" t="str">
        <f t="shared" ca="1" si="5"/>
        <v>Aging Risk</v>
      </c>
    </row>
    <row r="24" spans="1:17">
      <c r="A24" t="str">
        <f>Raw_Data!A24</f>
        <v>HY-1023</v>
      </c>
      <c r="B24" t="str">
        <f>Raw_Data!B24</f>
        <v>Hydraulic Fitting D</v>
      </c>
      <c r="C24" t="str">
        <f>Raw_Data!C24</f>
        <v>Hydraulic</v>
      </c>
      <c r="D24" t="str">
        <f>Raw_Data!D24</f>
        <v>Fort Worth</v>
      </c>
      <c r="E24" s="6">
        <f>Raw_Data!E24</f>
        <v>160</v>
      </c>
      <c r="F24" s="6">
        <f>Raw_Data!F24</f>
        <v>25</v>
      </c>
      <c r="G24" s="6">
        <f>Raw_Data!G24</f>
        <v>150</v>
      </c>
      <c r="H24" s="4">
        <f>Raw_Data!H24</f>
        <v>422.37</v>
      </c>
      <c r="I24" t="str">
        <f>Raw_Data!I24</f>
        <v>Lone Star Industrial</v>
      </c>
      <c r="J24" s="5">
        <f>Raw_Data!J24</f>
        <v>46190</v>
      </c>
      <c r="K24" s="6">
        <f>Raw_Data!K24</f>
        <v>45</v>
      </c>
      <c r="L24" s="4">
        <f t="shared" si="0"/>
        <v>67579.199999999997</v>
      </c>
      <c r="M24" t="str">
        <f t="shared" si="1"/>
        <v>OK</v>
      </c>
      <c r="N24" t="str">
        <f t="shared" si="2"/>
        <v>Overstock</v>
      </c>
      <c r="O24" s="7">
        <f t="shared" ca="1" si="3"/>
        <v>14</v>
      </c>
      <c r="P24" t="str">
        <f t="shared" ca="1" si="4"/>
        <v>0-30 days</v>
      </c>
      <c r="Q24" t="str">
        <f t="shared" si="5"/>
        <v>Overstock</v>
      </c>
    </row>
    <row r="25" spans="1:17">
      <c r="A25" t="str">
        <f>Raw_Data!A25</f>
        <v>AV-1024</v>
      </c>
      <c r="B25" t="str">
        <f>Raw_Data!B25</f>
        <v>Sensor Module A</v>
      </c>
      <c r="C25" t="str">
        <f>Raw_Data!C25</f>
        <v>Avionics</v>
      </c>
      <c r="D25" t="str">
        <f>Raw_Data!D25</f>
        <v>Dallas</v>
      </c>
      <c r="E25" s="6">
        <f>Raw_Data!E25</f>
        <v>62</v>
      </c>
      <c r="F25" s="6">
        <f>Raw_Data!F25</f>
        <v>100</v>
      </c>
      <c r="G25" s="6">
        <f>Raw_Data!G25</f>
        <v>400</v>
      </c>
      <c r="H25" s="4">
        <f>Raw_Data!H25</f>
        <v>458.59</v>
      </c>
      <c r="I25" t="str">
        <f>Raw_Data!I25</f>
        <v>Precision Pack &amp; Ship</v>
      </c>
      <c r="J25" s="5">
        <f>Raw_Data!J25</f>
        <v>46187</v>
      </c>
      <c r="K25" s="6">
        <f>Raw_Data!K25</f>
        <v>10</v>
      </c>
      <c r="L25" s="4">
        <f t="shared" si="0"/>
        <v>28432.579999999998</v>
      </c>
      <c r="M25" t="str">
        <f t="shared" si="1"/>
        <v>Reorder Needed</v>
      </c>
      <c r="N25" t="str">
        <f t="shared" si="2"/>
        <v>OK</v>
      </c>
      <c r="O25" s="7">
        <f t="shared" ca="1" si="3"/>
        <v>17</v>
      </c>
      <c r="P25" t="str">
        <f t="shared" ca="1" si="4"/>
        <v>0-30 days</v>
      </c>
      <c r="Q25" t="str">
        <f t="shared" si="5"/>
        <v>Low Stock</v>
      </c>
    </row>
    <row r="26" spans="1:17">
      <c r="A26" t="str">
        <f>Raw_Data!A26</f>
        <v>CH-1025</v>
      </c>
      <c r="B26" t="str">
        <f>Raw_Data!B26</f>
        <v>Solvent Cleaner A</v>
      </c>
      <c r="C26" t="str">
        <f>Raw_Data!C26</f>
        <v>Chemical</v>
      </c>
      <c r="D26" t="str">
        <f>Raw_Data!D26</f>
        <v>Houston</v>
      </c>
      <c r="E26" s="6">
        <f>Raw_Data!E26</f>
        <v>222</v>
      </c>
      <c r="F26" s="6">
        <f>Raw_Data!F26</f>
        <v>25</v>
      </c>
      <c r="G26" s="6">
        <f>Raw_Data!G26</f>
        <v>150</v>
      </c>
      <c r="H26" s="4">
        <f>Raw_Data!H26</f>
        <v>629.62</v>
      </c>
      <c r="I26" t="str">
        <f>Raw_Data!I26</f>
        <v>DFW Tooling Supply</v>
      </c>
      <c r="J26" s="5">
        <f>Raw_Data!J26</f>
        <v>46163</v>
      </c>
      <c r="K26" s="6">
        <f>Raw_Data!K26</f>
        <v>10</v>
      </c>
      <c r="L26" s="4">
        <f t="shared" si="0"/>
        <v>139775.64000000001</v>
      </c>
      <c r="M26" t="str">
        <f t="shared" si="1"/>
        <v>OK</v>
      </c>
      <c r="N26" t="str">
        <f t="shared" si="2"/>
        <v>Overstock</v>
      </c>
      <c r="O26" s="7">
        <f t="shared" ca="1" si="3"/>
        <v>41</v>
      </c>
      <c r="P26" t="str">
        <f t="shared" ca="1" si="4"/>
        <v>31-60 days</v>
      </c>
      <c r="Q26" t="str">
        <f t="shared" si="5"/>
        <v>Overstock</v>
      </c>
    </row>
    <row r="27" spans="1:17">
      <c r="A27" t="str">
        <f>Raw_Data!A27</f>
        <v>HW-1026</v>
      </c>
      <c r="B27" t="str">
        <f>Raw_Data!B27</f>
        <v>Titanium Bolt B</v>
      </c>
      <c r="C27" t="str">
        <f>Raw_Data!C27</f>
        <v>Hardware</v>
      </c>
      <c r="D27" t="str">
        <f>Raw_Data!D27</f>
        <v>Dallas</v>
      </c>
      <c r="E27" s="6">
        <f>Raw_Data!E27</f>
        <v>58</v>
      </c>
      <c r="F27" s="6">
        <f>Raw_Data!F27</f>
        <v>50</v>
      </c>
      <c r="G27" s="6">
        <f>Raw_Data!G27</f>
        <v>150</v>
      </c>
      <c r="H27" s="4">
        <f>Raw_Data!H27</f>
        <v>50.01</v>
      </c>
      <c r="I27" t="str">
        <f>Raw_Data!I27</f>
        <v>DFW Tooling Supply</v>
      </c>
      <c r="J27" s="5">
        <f>Raw_Data!J27</f>
        <v>46074</v>
      </c>
      <c r="K27" s="6">
        <f>Raw_Data!K27</f>
        <v>60</v>
      </c>
      <c r="L27" s="4">
        <f t="shared" si="0"/>
        <v>2900.58</v>
      </c>
      <c r="M27" t="str">
        <f t="shared" si="1"/>
        <v>OK</v>
      </c>
      <c r="N27" t="str">
        <f t="shared" si="2"/>
        <v>OK</v>
      </c>
      <c r="O27" s="7">
        <f t="shared" ca="1" si="3"/>
        <v>130</v>
      </c>
      <c r="P27" t="str">
        <f t="shared" ca="1" si="4"/>
        <v>90+ days</v>
      </c>
      <c r="Q27" t="str">
        <f t="shared" ca="1" si="5"/>
        <v>Aging Risk</v>
      </c>
    </row>
    <row r="28" spans="1:17">
      <c r="A28" t="str">
        <f>Raw_Data!A28</f>
        <v>AV-1027</v>
      </c>
      <c r="B28" t="str">
        <f>Raw_Data!B28</f>
        <v>Sensor Module B</v>
      </c>
      <c r="C28" t="str">
        <f>Raw_Data!C28</f>
        <v>Avionics</v>
      </c>
      <c r="D28" t="str">
        <f>Raw_Data!D28</f>
        <v>Dallas</v>
      </c>
      <c r="E28" s="6">
        <f>Raw_Data!E28</f>
        <v>59</v>
      </c>
      <c r="F28" s="6">
        <f>Raw_Data!F28</f>
        <v>50</v>
      </c>
      <c r="G28" s="6">
        <f>Raw_Data!G28</f>
        <v>150</v>
      </c>
      <c r="H28" s="4">
        <f>Raw_Data!H28</f>
        <v>566.29999999999995</v>
      </c>
      <c r="I28" t="str">
        <f>Raw_Data!I28</f>
        <v>Vector Components</v>
      </c>
      <c r="J28" s="5">
        <f>Raw_Data!J28</f>
        <v>46099</v>
      </c>
      <c r="K28" s="6">
        <f>Raw_Data!K28</f>
        <v>7</v>
      </c>
      <c r="L28" s="4">
        <f t="shared" si="0"/>
        <v>33411.699999999997</v>
      </c>
      <c r="M28" t="str">
        <f t="shared" si="1"/>
        <v>OK</v>
      </c>
      <c r="N28" t="str">
        <f t="shared" si="2"/>
        <v>OK</v>
      </c>
      <c r="O28" s="7">
        <f t="shared" ca="1" si="3"/>
        <v>105</v>
      </c>
      <c r="P28" t="str">
        <f t="shared" ca="1" si="4"/>
        <v>90+ days</v>
      </c>
      <c r="Q28" t="str">
        <f t="shared" ca="1" si="5"/>
        <v>Aging Risk</v>
      </c>
    </row>
    <row r="29" spans="1:17">
      <c r="A29" t="str">
        <f>Raw_Data!A29</f>
        <v>AV-1028</v>
      </c>
      <c r="B29" t="str">
        <f>Raw_Data!B29</f>
        <v>Control Relay B</v>
      </c>
      <c r="C29" t="str">
        <f>Raw_Data!C29</f>
        <v>Avionics</v>
      </c>
      <c r="D29" t="str">
        <f>Raw_Data!D29</f>
        <v>San Antonio</v>
      </c>
      <c r="E29" s="6">
        <f>Raw_Data!E29</f>
        <v>104</v>
      </c>
      <c r="F29" s="6">
        <f>Raw_Data!F29</f>
        <v>50</v>
      </c>
      <c r="G29" s="6">
        <f>Raw_Data!G29</f>
        <v>150</v>
      </c>
      <c r="H29" s="4">
        <f>Raw_Data!H29</f>
        <v>625.36</v>
      </c>
      <c r="I29" t="str">
        <f>Raw_Data!I29</f>
        <v>Skyway Parts LLC</v>
      </c>
      <c r="J29" s="5">
        <f>Raw_Data!J29</f>
        <v>46136</v>
      </c>
      <c r="K29" s="6">
        <f>Raw_Data!K29</f>
        <v>10</v>
      </c>
      <c r="L29" s="4">
        <f t="shared" si="0"/>
        <v>65037.440000000002</v>
      </c>
      <c r="M29" t="str">
        <f t="shared" si="1"/>
        <v>OK</v>
      </c>
      <c r="N29" t="str">
        <f t="shared" si="2"/>
        <v>OK</v>
      </c>
      <c r="O29" s="7">
        <f t="shared" ca="1" si="3"/>
        <v>68</v>
      </c>
      <c r="P29" t="str">
        <f t="shared" ca="1" si="4"/>
        <v>61-90 days</v>
      </c>
      <c r="Q29" t="str">
        <f t="shared" ca="1" si="5"/>
        <v>OK</v>
      </c>
    </row>
    <row r="30" spans="1:17">
      <c r="A30" t="str">
        <f>Raw_Data!A30</f>
        <v>PK-1029</v>
      </c>
      <c r="B30" t="str">
        <f>Raw_Data!B30</f>
        <v>Shipping Foam STD</v>
      </c>
      <c r="C30" t="str">
        <f>Raw_Data!C30</f>
        <v>Packaging</v>
      </c>
      <c r="D30" t="str">
        <f>Raw_Data!D30</f>
        <v>Austin</v>
      </c>
      <c r="E30" s="6">
        <f>Raw_Data!E30</f>
        <v>59</v>
      </c>
      <c r="F30" s="6">
        <f>Raw_Data!F30</f>
        <v>20</v>
      </c>
      <c r="G30" s="6">
        <f>Raw_Data!G30</f>
        <v>100</v>
      </c>
      <c r="H30" s="4">
        <f>Raw_Data!H30</f>
        <v>435.72</v>
      </c>
      <c r="I30" t="str">
        <f>Raw_Data!I30</f>
        <v>Lone Star Industrial</v>
      </c>
      <c r="J30" s="5">
        <f>Raw_Data!J30</f>
        <v>46200</v>
      </c>
      <c r="K30" s="6">
        <f>Raw_Data!K30</f>
        <v>21</v>
      </c>
      <c r="L30" s="4">
        <f t="shared" si="0"/>
        <v>25707.480000000003</v>
      </c>
      <c r="M30" t="str">
        <f t="shared" si="1"/>
        <v>OK</v>
      </c>
      <c r="N30" t="str">
        <f t="shared" si="2"/>
        <v>OK</v>
      </c>
      <c r="O30" s="7">
        <f t="shared" ca="1" si="3"/>
        <v>4</v>
      </c>
      <c r="P30" t="str">
        <f t="shared" ca="1" si="4"/>
        <v>0-30 days</v>
      </c>
      <c r="Q30" t="str">
        <f t="shared" ca="1" si="5"/>
        <v>OK</v>
      </c>
    </row>
    <row r="31" spans="1:17">
      <c r="A31" t="str">
        <f>Raw_Data!A31</f>
        <v>AV-1030</v>
      </c>
      <c r="B31" t="str">
        <f>Raw_Data!B31</f>
        <v>Control Relay XL</v>
      </c>
      <c r="C31" t="str">
        <f>Raw_Data!C31</f>
        <v>Avionics</v>
      </c>
      <c r="D31" t="str">
        <f>Raw_Data!D31</f>
        <v>Dallas</v>
      </c>
      <c r="E31" s="6">
        <f>Raw_Data!E31</f>
        <v>15</v>
      </c>
      <c r="F31" s="6">
        <f>Raw_Data!F31</f>
        <v>10</v>
      </c>
      <c r="G31" s="6">
        <f>Raw_Data!G31</f>
        <v>40</v>
      </c>
      <c r="H31" s="4">
        <f>Raw_Data!H31</f>
        <v>886.76</v>
      </c>
      <c r="I31" t="str">
        <f>Raw_Data!I31</f>
        <v>Lone Star Industrial</v>
      </c>
      <c r="J31" s="5">
        <f>Raw_Data!J31</f>
        <v>46140</v>
      </c>
      <c r="K31" s="6">
        <f>Raw_Data!K31</f>
        <v>14</v>
      </c>
      <c r="L31" s="4">
        <f t="shared" si="0"/>
        <v>13301.4</v>
      </c>
      <c r="M31" t="str">
        <f t="shared" si="1"/>
        <v>OK</v>
      </c>
      <c r="N31" t="str">
        <f t="shared" si="2"/>
        <v>OK</v>
      </c>
      <c r="O31" s="7">
        <f t="shared" ca="1" si="3"/>
        <v>64</v>
      </c>
      <c r="P31" t="str">
        <f t="shared" ca="1" si="4"/>
        <v>61-90 days</v>
      </c>
      <c r="Q31" t="str">
        <f t="shared" ca="1" si="5"/>
        <v>OK</v>
      </c>
    </row>
    <row r="32" spans="1:17">
      <c r="A32" t="str">
        <f>Raw_Data!A32</f>
        <v>HW-1031</v>
      </c>
      <c r="B32" t="str">
        <f>Raw_Data!B32</f>
        <v>Titanium Bolt B</v>
      </c>
      <c r="C32" t="str">
        <f>Raw_Data!C32</f>
        <v>Hardware</v>
      </c>
      <c r="D32" t="str">
        <f>Raw_Data!D32</f>
        <v>Houston</v>
      </c>
      <c r="E32" s="6">
        <f>Raw_Data!E32</f>
        <v>435</v>
      </c>
      <c r="F32" s="6">
        <f>Raw_Data!F32</f>
        <v>100</v>
      </c>
      <c r="G32" s="6">
        <f>Raw_Data!G32</f>
        <v>500</v>
      </c>
      <c r="H32" s="4">
        <f>Raw_Data!H32</f>
        <v>503.67</v>
      </c>
      <c r="I32" t="str">
        <f>Raw_Data!I32</f>
        <v>Northline Chemicals</v>
      </c>
      <c r="J32" s="5">
        <f>Raw_Data!J32</f>
        <v>46033</v>
      </c>
      <c r="K32" s="6">
        <f>Raw_Data!K32</f>
        <v>7</v>
      </c>
      <c r="L32" s="4">
        <f t="shared" si="0"/>
        <v>219096.45</v>
      </c>
      <c r="M32" t="str">
        <f t="shared" si="1"/>
        <v>OK</v>
      </c>
      <c r="N32" t="str">
        <f t="shared" si="2"/>
        <v>OK</v>
      </c>
      <c r="O32" s="7">
        <f t="shared" ca="1" si="3"/>
        <v>171</v>
      </c>
      <c r="P32" t="str">
        <f t="shared" ca="1" si="4"/>
        <v>90+ days</v>
      </c>
      <c r="Q32" t="str">
        <f t="shared" ca="1" si="5"/>
        <v>Aging Risk</v>
      </c>
    </row>
    <row r="33" spans="1:17">
      <c r="A33" t="str">
        <f>Raw_Data!A33</f>
        <v>HY-1032</v>
      </c>
      <c r="B33" t="str">
        <f>Raw_Data!B33</f>
        <v>Hydraulic Fitting C</v>
      </c>
      <c r="C33" t="str">
        <f>Raw_Data!C33</f>
        <v>Hydraulic</v>
      </c>
      <c r="D33" t="str">
        <f>Raw_Data!D33</f>
        <v>Dallas</v>
      </c>
      <c r="E33" s="6">
        <f>Raw_Data!E33</f>
        <v>60</v>
      </c>
      <c r="F33" s="6">
        <f>Raw_Data!F33</f>
        <v>10</v>
      </c>
      <c r="G33" s="6">
        <f>Raw_Data!G33</f>
        <v>40</v>
      </c>
      <c r="H33" s="4">
        <f>Raw_Data!H33</f>
        <v>202.07</v>
      </c>
      <c r="I33" t="str">
        <f>Raw_Data!I33</f>
        <v>Skyway Parts LLC</v>
      </c>
      <c r="J33" s="5">
        <f>Raw_Data!J33</f>
        <v>46150</v>
      </c>
      <c r="K33" s="6">
        <f>Raw_Data!K33</f>
        <v>45</v>
      </c>
      <c r="L33" s="4">
        <f t="shared" si="0"/>
        <v>12124.199999999999</v>
      </c>
      <c r="M33" t="str">
        <f t="shared" si="1"/>
        <v>OK</v>
      </c>
      <c r="N33" t="str">
        <f t="shared" si="2"/>
        <v>Overstock</v>
      </c>
      <c r="O33" s="7">
        <f t="shared" ca="1" si="3"/>
        <v>54</v>
      </c>
      <c r="P33" t="str">
        <f t="shared" ca="1" si="4"/>
        <v>31-60 days</v>
      </c>
      <c r="Q33" t="str">
        <f t="shared" si="5"/>
        <v>Overstock</v>
      </c>
    </row>
    <row r="34" spans="1:17">
      <c r="A34" t="str">
        <f>Raw_Data!A34</f>
        <v>PK-1033</v>
      </c>
      <c r="B34" t="str">
        <f>Raw_Data!B34</f>
        <v>Shipping Foam C</v>
      </c>
      <c r="C34" t="str">
        <f>Raw_Data!C34</f>
        <v>Packaging</v>
      </c>
      <c r="D34" t="str">
        <f>Raw_Data!D34</f>
        <v>San Antonio</v>
      </c>
      <c r="E34" s="6">
        <f>Raw_Data!E34</f>
        <v>139</v>
      </c>
      <c r="F34" s="6">
        <f>Raw_Data!F34</f>
        <v>30</v>
      </c>
      <c r="G34" s="6">
        <f>Raw_Data!G34</f>
        <v>150</v>
      </c>
      <c r="H34" s="4">
        <f>Raw_Data!H34</f>
        <v>50.63</v>
      </c>
      <c r="I34" t="str">
        <f>Raw_Data!I34</f>
        <v>Precision Pack &amp; Ship</v>
      </c>
      <c r="J34" s="5">
        <f>Raw_Data!J34</f>
        <v>46132</v>
      </c>
      <c r="K34" s="6">
        <f>Raw_Data!K34</f>
        <v>7</v>
      </c>
      <c r="L34" s="4">
        <f t="shared" ref="L34:L65" si="6">E34*H34</f>
        <v>7037.5700000000006</v>
      </c>
      <c r="M34" t="str">
        <f t="shared" ref="M34:M65" si="7">IF(E34&lt;=F34,"Reorder Needed","OK")</f>
        <v>OK</v>
      </c>
      <c r="N34" t="str">
        <f t="shared" ref="N34:N65" si="8">IF(E34&gt;G34,"Overstock","OK")</f>
        <v>OK</v>
      </c>
      <c r="O34" s="7">
        <f t="shared" ref="O34:O65" ca="1" si="9">TODAY()-J34</f>
        <v>72</v>
      </c>
      <c r="P34" t="str">
        <f t="shared" ref="P34:P65" ca="1" si="10">IF(O34&lt;=30,"0-30 days",IF(O34&lt;=60,"31-60 days",IF(O34&lt;=90,"61-90 days","90+ days")))</f>
        <v>61-90 days</v>
      </c>
      <c r="Q34" t="str">
        <f t="shared" ref="Q34:Q65" ca="1" si="11">IF(M34="Reorder Needed","Low Stock",IF(N34="Overstock","Overstock",IF(P34="90+ days","Aging Risk","OK")))</f>
        <v>OK</v>
      </c>
    </row>
    <row r="35" spans="1:17">
      <c r="A35" t="str">
        <f>Raw_Data!A35</f>
        <v>EL-1034</v>
      </c>
      <c r="B35" t="str">
        <f>Raw_Data!B35</f>
        <v>Circuit Breaker C</v>
      </c>
      <c r="C35" t="str">
        <f>Raw_Data!C35</f>
        <v>Electrical</v>
      </c>
      <c r="D35" t="str">
        <f>Raw_Data!D35</f>
        <v>Fort Worth</v>
      </c>
      <c r="E35" s="6">
        <f>Raw_Data!E35</f>
        <v>56</v>
      </c>
      <c r="F35" s="6">
        <f>Raw_Data!F35</f>
        <v>75</v>
      </c>
      <c r="G35" s="6">
        <f>Raw_Data!G35</f>
        <v>375</v>
      </c>
      <c r="H35" s="4">
        <f>Raw_Data!H35</f>
        <v>525.22</v>
      </c>
      <c r="I35" t="str">
        <f>Raw_Data!I35</f>
        <v>Precision Pack &amp; Ship</v>
      </c>
      <c r="J35" s="5">
        <f>Raw_Data!J35</f>
        <v>46059</v>
      </c>
      <c r="K35" s="6">
        <f>Raw_Data!K35</f>
        <v>7</v>
      </c>
      <c r="L35" s="4">
        <f t="shared" si="6"/>
        <v>29412.32</v>
      </c>
      <c r="M35" t="str">
        <f t="shared" si="7"/>
        <v>Reorder Needed</v>
      </c>
      <c r="N35" t="str">
        <f t="shared" si="8"/>
        <v>OK</v>
      </c>
      <c r="O35" s="7">
        <f t="shared" ca="1" si="9"/>
        <v>145</v>
      </c>
      <c r="P35" t="str">
        <f t="shared" ca="1" si="10"/>
        <v>90+ days</v>
      </c>
      <c r="Q35" t="str">
        <f t="shared" si="11"/>
        <v>Low Stock</v>
      </c>
    </row>
    <row r="36" spans="1:17">
      <c r="A36" t="str">
        <f>Raw_Data!A36</f>
        <v>EL-1035</v>
      </c>
      <c r="B36" t="str">
        <f>Raw_Data!B36</f>
        <v>Wire Harness A</v>
      </c>
      <c r="C36" t="str">
        <f>Raw_Data!C36</f>
        <v>Electrical</v>
      </c>
      <c r="D36" t="str">
        <f>Raw_Data!D36</f>
        <v>Fort Worth</v>
      </c>
      <c r="E36" s="6">
        <f>Raw_Data!E36</f>
        <v>125</v>
      </c>
      <c r="F36" s="6">
        <f>Raw_Data!F36</f>
        <v>50</v>
      </c>
      <c r="G36" s="6">
        <f>Raw_Data!G36</f>
        <v>150</v>
      </c>
      <c r="H36" s="4">
        <f>Raw_Data!H36</f>
        <v>526.02</v>
      </c>
      <c r="I36" t="str">
        <f>Raw_Data!I36</f>
        <v>Precision Pack &amp; Ship</v>
      </c>
      <c r="J36" s="5">
        <f>Raw_Data!J36</f>
        <v>46170</v>
      </c>
      <c r="K36" s="6">
        <f>Raw_Data!K36</f>
        <v>7</v>
      </c>
      <c r="L36" s="4">
        <f t="shared" si="6"/>
        <v>65752.5</v>
      </c>
      <c r="M36" t="str">
        <f t="shared" si="7"/>
        <v>OK</v>
      </c>
      <c r="N36" t="str">
        <f t="shared" si="8"/>
        <v>OK</v>
      </c>
      <c r="O36" s="7">
        <f t="shared" ca="1" si="9"/>
        <v>34</v>
      </c>
      <c r="P36" t="str">
        <f t="shared" ca="1" si="10"/>
        <v>31-60 days</v>
      </c>
      <c r="Q36" t="str">
        <f t="shared" ca="1" si="11"/>
        <v>OK</v>
      </c>
    </row>
    <row r="37" spans="1:17">
      <c r="A37" t="str">
        <f>Raw_Data!A37</f>
        <v>HW-1036</v>
      </c>
      <c r="B37" t="str">
        <f>Raw_Data!B37</f>
        <v>Titanium Bolt C</v>
      </c>
      <c r="C37" t="str">
        <f>Raw_Data!C37</f>
        <v>Hardware</v>
      </c>
      <c r="D37" t="str">
        <f>Raw_Data!D37</f>
        <v>Dallas</v>
      </c>
      <c r="E37" s="6">
        <f>Raw_Data!E37</f>
        <v>39</v>
      </c>
      <c r="F37" s="6">
        <f>Raw_Data!F37</f>
        <v>25</v>
      </c>
      <c r="G37" s="6">
        <f>Raw_Data!G37</f>
        <v>100</v>
      </c>
      <c r="H37" s="4">
        <f>Raw_Data!H37</f>
        <v>337.61</v>
      </c>
      <c r="I37" t="str">
        <f>Raw_Data!I37</f>
        <v>Precision Pack &amp; Ship</v>
      </c>
      <c r="J37" s="5">
        <f>Raw_Data!J37</f>
        <v>46044</v>
      </c>
      <c r="K37" s="6">
        <f>Raw_Data!K37</f>
        <v>45</v>
      </c>
      <c r="L37" s="4">
        <f t="shared" si="6"/>
        <v>13166.79</v>
      </c>
      <c r="M37" t="str">
        <f t="shared" si="7"/>
        <v>OK</v>
      </c>
      <c r="N37" t="str">
        <f t="shared" si="8"/>
        <v>OK</v>
      </c>
      <c r="O37" s="7">
        <f t="shared" ca="1" si="9"/>
        <v>160</v>
      </c>
      <c r="P37" t="str">
        <f t="shared" ca="1" si="10"/>
        <v>90+ days</v>
      </c>
      <c r="Q37" t="str">
        <f t="shared" ca="1" si="11"/>
        <v>Aging Risk</v>
      </c>
    </row>
    <row r="38" spans="1:17">
      <c r="A38" t="str">
        <f>Raw_Data!A38</f>
        <v>HY-1037</v>
      </c>
      <c r="B38" t="str">
        <f>Raw_Data!B38</f>
        <v>Hydraulic Fitting B</v>
      </c>
      <c r="C38" t="str">
        <f>Raw_Data!C38</f>
        <v>Hydraulic</v>
      </c>
      <c r="D38" t="str">
        <f>Raw_Data!D38</f>
        <v>Fort Worth</v>
      </c>
      <c r="E38" s="6">
        <f>Raw_Data!E38</f>
        <v>113</v>
      </c>
      <c r="F38" s="6">
        <f>Raw_Data!F38</f>
        <v>100</v>
      </c>
      <c r="G38" s="6">
        <f>Raw_Data!G38</f>
        <v>400</v>
      </c>
      <c r="H38" s="4">
        <f>Raw_Data!H38</f>
        <v>172.44</v>
      </c>
      <c r="I38" t="str">
        <f>Raw_Data!I38</f>
        <v>Skyway Parts LLC</v>
      </c>
      <c r="J38" s="5">
        <f>Raw_Data!J38</f>
        <v>46097</v>
      </c>
      <c r="K38" s="6">
        <f>Raw_Data!K38</f>
        <v>60</v>
      </c>
      <c r="L38" s="4">
        <f t="shared" si="6"/>
        <v>19485.72</v>
      </c>
      <c r="M38" t="str">
        <f t="shared" si="7"/>
        <v>OK</v>
      </c>
      <c r="N38" t="str">
        <f t="shared" si="8"/>
        <v>OK</v>
      </c>
      <c r="O38" s="7">
        <f t="shared" ca="1" si="9"/>
        <v>107</v>
      </c>
      <c r="P38" t="str">
        <f t="shared" ca="1" si="10"/>
        <v>90+ days</v>
      </c>
      <c r="Q38" t="str">
        <f t="shared" ca="1" si="11"/>
        <v>Aging Risk</v>
      </c>
    </row>
    <row r="39" spans="1:17">
      <c r="A39" t="str">
        <f>Raw_Data!A39</f>
        <v>PK-1038</v>
      </c>
      <c r="B39" t="str">
        <f>Raw_Data!B39</f>
        <v>Shipping Foam STD</v>
      </c>
      <c r="C39" t="str">
        <f>Raw_Data!C39</f>
        <v>Packaging</v>
      </c>
      <c r="D39" t="str">
        <f>Raw_Data!D39</f>
        <v>Fort Worth</v>
      </c>
      <c r="E39" s="6">
        <f>Raw_Data!E39</f>
        <v>39</v>
      </c>
      <c r="F39" s="6">
        <f>Raw_Data!F39</f>
        <v>25</v>
      </c>
      <c r="G39" s="6">
        <f>Raw_Data!G39</f>
        <v>100</v>
      </c>
      <c r="H39" s="4">
        <f>Raw_Data!H39</f>
        <v>364.96</v>
      </c>
      <c r="I39" t="str">
        <f>Raw_Data!I39</f>
        <v>AeroFast Supply Co.</v>
      </c>
      <c r="J39" s="5">
        <f>Raw_Data!J39</f>
        <v>46082</v>
      </c>
      <c r="K39" s="6">
        <f>Raw_Data!K39</f>
        <v>10</v>
      </c>
      <c r="L39" s="4">
        <f t="shared" si="6"/>
        <v>14233.439999999999</v>
      </c>
      <c r="M39" t="str">
        <f t="shared" si="7"/>
        <v>OK</v>
      </c>
      <c r="N39" t="str">
        <f t="shared" si="8"/>
        <v>OK</v>
      </c>
      <c r="O39" s="7">
        <f t="shared" ca="1" si="9"/>
        <v>122</v>
      </c>
      <c r="P39" t="str">
        <f t="shared" ca="1" si="10"/>
        <v>90+ days</v>
      </c>
      <c r="Q39" t="str">
        <f t="shared" ca="1" si="11"/>
        <v>Aging Risk</v>
      </c>
    </row>
    <row r="40" spans="1:17">
      <c r="A40" t="str">
        <f>Raw_Data!A40</f>
        <v>HY-1039</v>
      </c>
      <c r="B40" t="str">
        <f>Raw_Data!B40</f>
        <v>O-Ring Seal D</v>
      </c>
      <c r="C40" t="str">
        <f>Raw_Data!C40</f>
        <v>Hydraulic</v>
      </c>
      <c r="D40" t="str">
        <f>Raw_Data!D40</f>
        <v>Austin</v>
      </c>
      <c r="E40" s="6">
        <f>Raw_Data!E40</f>
        <v>125</v>
      </c>
      <c r="F40" s="6">
        <f>Raw_Data!F40</f>
        <v>25</v>
      </c>
      <c r="G40" s="6">
        <f>Raw_Data!G40</f>
        <v>100</v>
      </c>
      <c r="H40" s="4">
        <f>Raw_Data!H40</f>
        <v>380.05</v>
      </c>
      <c r="I40" t="str">
        <f>Raw_Data!I40</f>
        <v>Northline Chemicals</v>
      </c>
      <c r="J40" s="5">
        <f>Raw_Data!J40</f>
        <v>46185</v>
      </c>
      <c r="K40" s="6">
        <f>Raw_Data!K40</f>
        <v>60</v>
      </c>
      <c r="L40" s="4">
        <f t="shared" si="6"/>
        <v>47506.25</v>
      </c>
      <c r="M40" t="str">
        <f t="shared" si="7"/>
        <v>OK</v>
      </c>
      <c r="N40" t="str">
        <f t="shared" si="8"/>
        <v>Overstock</v>
      </c>
      <c r="O40" s="7">
        <f t="shared" ca="1" si="9"/>
        <v>19</v>
      </c>
      <c r="P40" t="str">
        <f t="shared" ca="1" si="10"/>
        <v>0-30 days</v>
      </c>
      <c r="Q40" t="str">
        <f t="shared" si="11"/>
        <v>Overstock</v>
      </c>
    </row>
    <row r="41" spans="1:17">
      <c r="A41" t="str">
        <f>Raw_Data!A41</f>
        <v>HW-1040</v>
      </c>
      <c r="B41" t="str">
        <f>Raw_Data!B41</f>
        <v>Titanium Bolt C</v>
      </c>
      <c r="C41" t="str">
        <f>Raw_Data!C41</f>
        <v>Hardware</v>
      </c>
      <c r="D41" t="str">
        <f>Raw_Data!D41</f>
        <v>San Antonio</v>
      </c>
      <c r="E41" s="6">
        <f>Raw_Data!E41</f>
        <v>45</v>
      </c>
      <c r="F41" s="6">
        <f>Raw_Data!F41</f>
        <v>30</v>
      </c>
      <c r="G41" s="6">
        <f>Raw_Data!G41</f>
        <v>150</v>
      </c>
      <c r="H41" s="4">
        <f>Raw_Data!H41</f>
        <v>833.49</v>
      </c>
      <c r="I41" t="str">
        <f>Raw_Data!I41</f>
        <v>Northline Chemicals</v>
      </c>
      <c r="J41" s="5">
        <f>Raw_Data!J41</f>
        <v>46157</v>
      </c>
      <c r="K41" s="6">
        <f>Raw_Data!K41</f>
        <v>30</v>
      </c>
      <c r="L41" s="4">
        <f t="shared" si="6"/>
        <v>37507.050000000003</v>
      </c>
      <c r="M41" t="str">
        <f t="shared" si="7"/>
        <v>OK</v>
      </c>
      <c r="N41" t="str">
        <f t="shared" si="8"/>
        <v>OK</v>
      </c>
      <c r="O41" s="7">
        <f t="shared" ca="1" si="9"/>
        <v>47</v>
      </c>
      <c r="P41" t="str">
        <f t="shared" ca="1" si="10"/>
        <v>31-60 days</v>
      </c>
      <c r="Q41" t="str">
        <f t="shared" ca="1" si="11"/>
        <v>OK</v>
      </c>
    </row>
    <row r="42" spans="1:17">
      <c r="A42" t="str">
        <f>Raw_Data!A42</f>
        <v>HW-1041</v>
      </c>
      <c r="B42" t="str">
        <f>Raw_Data!B42</f>
        <v>Titanium Bolt A</v>
      </c>
      <c r="C42" t="str">
        <f>Raw_Data!C42</f>
        <v>Hardware</v>
      </c>
      <c r="D42" t="str">
        <f>Raw_Data!D42</f>
        <v>Dallas</v>
      </c>
      <c r="E42" s="6">
        <f>Raw_Data!E42</f>
        <v>252</v>
      </c>
      <c r="F42" s="6">
        <f>Raw_Data!F42</f>
        <v>50</v>
      </c>
      <c r="G42" s="6">
        <f>Raw_Data!G42</f>
        <v>300</v>
      </c>
      <c r="H42" s="4">
        <f>Raw_Data!H42</f>
        <v>299.70999999999998</v>
      </c>
      <c r="I42" t="str">
        <f>Raw_Data!I42</f>
        <v>Lone Star Industrial</v>
      </c>
      <c r="J42" s="5">
        <f>Raw_Data!J42</f>
        <v>46104</v>
      </c>
      <c r="K42" s="6">
        <f>Raw_Data!K42</f>
        <v>30</v>
      </c>
      <c r="L42" s="4">
        <f t="shared" si="6"/>
        <v>75526.92</v>
      </c>
      <c r="M42" t="str">
        <f t="shared" si="7"/>
        <v>OK</v>
      </c>
      <c r="N42" t="str">
        <f t="shared" si="8"/>
        <v>OK</v>
      </c>
      <c r="O42" s="7">
        <f t="shared" ca="1" si="9"/>
        <v>100</v>
      </c>
      <c r="P42" t="str">
        <f t="shared" ca="1" si="10"/>
        <v>90+ days</v>
      </c>
      <c r="Q42" t="str">
        <f t="shared" ca="1" si="11"/>
        <v>Aging Risk</v>
      </c>
    </row>
    <row r="43" spans="1:17">
      <c r="A43" t="str">
        <f>Raw_Data!A43</f>
        <v>HY-1042</v>
      </c>
      <c r="B43" t="str">
        <f>Raw_Data!B43</f>
        <v>O-Ring Seal C</v>
      </c>
      <c r="C43" t="str">
        <f>Raw_Data!C43</f>
        <v>Hydraulic</v>
      </c>
      <c r="D43" t="str">
        <f>Raw_Data!D43</f>
        <v>Dallas</v>
      </c>
      <c r="E43" s="6">
        <f>Raw_Data!E43</f>
        <v>68</v>
      </c>
      <c r="F43" s="6">
        <f>Raw_Data!F43</f>
        <v>75</v>
      </c>
      <c r="G43" s="6">
        <f>Raw_Data!G43</f>
        <v>450</v>
      </c>
      <c r="H43" s="4">
        <f>Raw_Data!H43</f>
        <v>653.29999999999995</v>
      </c>
      <c r="I43" t="str">
        <f>Raw_Data!I43</f>
        <v>Vector Components</v>
      </c>
      <c r="J43" s="5">
        <f>Raw_Data!J43</f>
        <v>46109</v>
      </c>
      <c r="K43" s="6">
        <f>Raw_Data!K43</f>
        <v>21</v>
      </c>
      <c r="L43" s="4">
        <f t="shared" si="6"/>
        <v>44424.399999999994</v>
      </c>
      <c r="M43" t="str">
        <f t="shared" si="7"/>
        <v>Reorder Needed</v>
      </c>
      <c r="N43" t="str">
        <f t="shared" si="8"/>
        <v>OK</v>
      </c>
      <c r="O43" s="7">
        <f t="shared" ca="1" si="9"/>
        <v>95</v>
      </c>
      <c r="P43" t="str">
        <f t="shared" ca="1" si="10"/>
        <v>90+ days</v>
      </c>
      <c r="Q43" t="str">
        <f t="shared" si="11"/>
        <v>Low Stock</v>
      </c>
    </row>
    <row r="44" spans="1:17">
      <c r="A44" t="str">
        <f>Raw_Data!A44</f>
        <v>EL-1043</v>
      </c>
      <c r="B44" t="str">
        <f>Raw_Data!B44</f>
        <v>Wire Harness STD</v>
      </c>
      <c r="C44" t="str">
        <f>Raw_Data!C44</f>
        <v>Electrical</v>
      </c>
      <c r="D44" t="str">
        <f>Raw_Data!D44</f>
        <v>Austin</v>
      </c>
      <c r="E44" s="6">
        <f>Raw_Data!E44</f>
        <v>82</v>
      </c>
      <c r="F44" s="6">
        <f>Raw_Data!F44</f>
        <v>50</v>
      </c>
      <c r="G44" s="6">
        <f>Raw_Data!G44</f>
        <v>250</v>
      </c>
      <c r="H44" s="4">
        <f>Raw_Data!H44</f>
        <v>684.47</v>
      </c>
      <c r="I44" t="str">
        <f>Raw_Data!I44</f>
        <v>Northline Chemicals</v>
      </c>
      <c r="J44" s="5">
        <f>Raw_Data!J44</f>
        <v>46073</v>
      </c>
      <c r="K44" s="6">
        <f>Raw_Data!K44</f>
        <v>14</v>
      </c>
      <c r="L44" s="4">
        <f t="shared" si="6"/>
        <v>56126.54</v>
      </c>
      <c r="M44" t="str">
        <f t="shared" si="7"/>
        <v>OK</v>
      </c>
      <c r="N44" t="str">
        <f t="shared" si="8"/>
        <v>OK</v>
      </c>
      <c r="O44" s="7">
        <f t="shared" ca="1" si="9"/>
        <v>131</v>
      </c>
      <c r="P44" t="str">
        <f t="shared" ca="1" si="10"/>
        <v>90+ days</v>
      </c>
      <c r="Q44" t="str">
        <f t="shared" ca="1" si="11"/>
        <v>Aging Risk</v>
      </c>
    </row>
    <row r="45" spans="1:17">
      <c r="A45" t="str">
        <f>Raw_Data!A45</f>
        <v>PK-1044</v>
      </c>
      <c r="B45" t="str">
        <f>Raw_Data!B45</f>
        <v>Shipping Foam D</v>
      </c>
      <c r="C45" t="str">
        <f>Raw_Data!C45</f>
        <v>Packaging</v>
      </c>
      <c r="D45" t="str">
        <f>Raw_Data!D45</f>
        <v>Austin</v>
      </c>
      <c r="E45" s="6">
        <f>Raw_Data!E45</f>
        <v>55</v>
      </c>
      <c r="F45" s="6">
        <f>Raw_Data!F45</f>
        <v>30</v>
      </c>
      <c r="G45" s="6">
        <f>Raw_Data!G45</f>
        <v>150</v>
      </c>
      <c r="H45" s="4">
        <f>Raw_Data!H45</f>
        <v>400.87</v>
      </c>
      <c r="I45" t="str">
        <f>Raw_Data!I45</f>
        <v>Precision Pack &amp; Ship</v>
      </c>
      <c r="J45" s="5">
        <f>Raw_Data!J45</f>
        <v>46029</v>
      </c>
      <c r="K45" s="6">
        <f>Raw_Data!K45</f>
        <v>45</v>
      </c>
      <c r="L45" s="4">
        <f t="shared" si="6"/>
        <v>22047.85</v>
      </c>
      <c r="M45" t="str">
        <f t="shared" si="7"/>
        <v>OK</v>
      </c>
      <c r="N45" t="str">
        <f t="shared" si="8"/>
        <v>OK</v>
      </c>
      <c r="O45" s="7">
        <f t="shared" ca="1" si="9"/>
        <v>175</v>
      </c>
      <c r="P45" t="str">
        <f t="shared" ca="1" si="10"/>
        <v>90+ days</v>
      </c>
      <c r="Q45" t="str">
        <f t="shared" ca="1" si="11"/>
        <v>Aging Risk</v>
      </c>
    </row>
    <row r="46" spans="1:17">
      <c r="A46" t="str">
        <f>Raw_Data!A46</f>
        <v>HY-1045</v>
      </c>
      <c r="B46" t="str">
        <f>Raw_Data!B46</f>
        <v>Hydraulic Fitting XL</v>
      </c>
      <c r="C46" t="str">
        <f>Raw_Data!C46</f>
        <v>Hydraulic</v>
      </c>
      <c r="D46" t="str">
        <f>Raw_Data!D46</f>
        <v>San Antonio</v>
      </c>
      <c r="E46" s="6">
        <f>Raw_Data!E46</f>
        <v>26</v>
      </c>
      <c r="F46" s="6">
        <f>Raw_Data!F46</f>
        <v>25</v>
      </c>
      <c r="G46" s="6">
        <f>Raw_Data!G46</f>
        <v>150</v>
      </c>
      <c r="H46" s="4">
        <f>Raw_Data!H46</f>
        <v>290.42</v>
      </c>
      <c r="I46" t="str">
        <f>Raw_Data!I46</f>
        <v>Vector Components</v>
      </c>
      <c r="J46" s="5">
        <f>Raw_Data!J46</f>
        <v>46092</v>
      </c>
      <c r="K46" s="6">
        <f>Raw_Data!K46</f>
        <v>60</v>
      </c>
      <c r="L46" s="4">
        <f t="shared" si="6"/>
        <v>7550.92</v>
      </c>
      <c r="M46" t="str">
        <f t="shared" si="7"/>
        <v>OK</v>
      </c>
      <c r="N46" t="str">
        <f t="shared" si="8"/>
        <v>OK</v>
      </c>
      <c r="O46" s="7">
        <f t="shared" ca="1" si="9"/>
        <v>112</v>
      </c>
      <c r="P46" t="str">
        <f t="shared" ca="1" si="10"/>
        <v>90+ days</v>
      </c>
      <c r="Q46" t="str">
        <f t="shared" ca="1" si="11"/>
        <v>Aging Risk</v>
      </c>
    </row>
    <row r="47" spans="1:17">
      <c r="A47" t="str">
        <f>Raw_Data!A47</f>
        <v>AV-1046</v>
      </c>
      <c r="B47" t="str">
        <f>Raw_Data!B47</f>
        <v>Control Relay XL</v>
      </c>
      <c r="C47" t="str">
        <f>Raw_Data!C47</f>
        <v>Avionics</v>
      </c>
      <c r="D47" t="str">
        <f>Raw_Data!D47</f>
        <v>Austin</v>
      </c>
      <c r="E47" s="6">
        <f>Raw_Data!E47</f>
        <v>85</v>
      </c>
      <c r="F47" s="6">
        <f>Raw_Data!F47</f>
        <v>30</v>
      </c>
      <c r="G47" s="6">
        <f>Raw_Data!G47</f>
        <v>180</v>
      </c>
      <c r="H47" s="4">
        <f>Raw_Data!H47</f>
        <v>486.84</v>
      </c>
      <c r="I47" t="str">
        <f>Raw_Data!I47</f>
        <v>Metro Hardware Group</v>
      </c>
      <c r="J47" s="5">
        <f>Raw_Data!J47</f>
        <v>46034</v>
      </c>
      <c r="K47" s="6">
        <f>Raw_Data!K47</f>
        <v>7</v>
      </c>
      <c r="L47" s="4">
        <f t="shared" si="6"/>
        <v>41381.4</v>
      </c>
      <c r="M47" t="str">
        <f t="shared" si="7"/>
        <v>OK</v>
      </c>
      <c r="N47" t="str">
        <f t="shared" si="8"/>
        <v>OK</v>
      </c>
      <c r="O47" s="7">
        <f t="shared" ca="1" si="9"/>
        <v>170</v>
      </c>
      <c r="P47" t="str">
        <f t="shared" ca="1" si="10"/>
        <v>90+ days</v>
      </c>
      <c r="Q47" t="str">
        <f t="shared" ca="1" si="11"/>
        <v>Aging Risk</v>
      </c>
    </row>
    <row r="48" spans="1:17">
      <c r="A48" t="str">
        <f>Raw_Data!A48</f>
        <v>HW-1047</v>
      </c>
      <c r="B48" t="str">
        <f>Raw_Data!B48</f>
        <v>Titanium Bolt XL</v>
      </c>
      <c r="C48" t="str">
        <f>Raw_Data!C48</f>
        <v>Hardware</v>
      </c>
      <c r="D48" t="str">
        <f>Raw_Data!D48</f>
        <v>San Antonio</v>
      </c>
      <c r="E48" s="6">
        <f>Raw_Data!E48</f>
        <v>74</v>
      </c>
      <c r="F48" s="6">
        <f>Raw_Data!F48</f>
        <v>25</v>
      </c>
      <c r="G48" s="6">
        <f>Raw_Data!G48</f>
        <v>75</v>
      </c>
      <c r="H48" s="4">
        <f>Raw_Data!H48</f>
        <v>225.04</v>
      </c>
      <c r="I48" t="str">
        <f>Raw_Data!I48</f>
        <v>Northline Chemicals</v>
      </c>
      <c r="J48" s="5">
        <f>Raw_Data!J48</f>
        <v>46145</v>
      </c>
      <c r="K48" s="6">
        <f>Raw_Data!K48</f>
        <v>60</v>
      </c>
      <c r="L48" s="4">
        <f t="shared" si="6"/>
        <v>16652.96</v>
      </c>
      <c r="M48" t="str">
        <f t="shared" si="7"/>
        <v>OK</v>
      </c>
      <c r="N48" t="str">
        <f t="shared" si="8"/>
        <v>OK</v>
      </c>
      <c r="O48" s="7">
        <f t="shared" ca="1" si="9"/>
        <v>59</v>
      </c>
      <c r="P48" t="str">
        <f t="shared" ca="1" si="10"/>
        <v>31-60 days</v>
      </c>
      <c r="Q48" t="str">
        <f t="shared" ca="1" si="11"/>
        <v>OK</v>
      </c>
    </row>
    <row r="49" spans="1:17">
      <c r="A49" t="str">
        <f>Raw_Data!A49</f>
        <v>HY-1048</v>
      </c>
      <c r="B49" t="str">
        <f>Raw_Data!B49</f>
        <v>O-Ring Seal B</v>
      </c>
      <c r="C49" t="str">
        <f>Raw_Data!C49</f>
        <v>Hydraulic</v>
      </c>
      <c r="D49" t="str">
        <f>Raw_Data!D49</f>
        <v>Dallas</v>
      </c>
      <c r="E49" s="6">
        <f>Raw_Data!E49</f>
        <v>30</v>
      </c>
      <c r="F49" s="6">
        <f>Raw_Data!F49</f>
        <v>10</v>
      </c>
      <c r="G49" s="6">
        <f>Raw_Data!G49</f>
        <v>40</v>
      </c>
      <c r="H49" s="4">
        <f>Raw_Data!H49</f>
        <v>807.63</v>
      </c>
      <c r="I49" t="str">
        <f>Raw_Data!I49</f>
        <v>Lone Star Industrial</v>
      </c>
      <c r="J49" s="5">
        <f>Raw_Data!J49</f>
        <v>46086</v>
      </c>
      <c r="K49" s="6">
        <f>Raw_Data!K49</f>
        <v>21</v>
      </c>
      <c r="L49" s="4">
        <f t="shared" si="6"/>
        <v>24228.9</v>
      </c>
      <c r="M49" t="str">
        <f t="shared" si="7"/>
        <v>OK</v>
      </c>
      <c r="N49" t="str">
        <f t="shared" si="8"/>
        <v>OK</v>
      </c>
      <c r="O49" s="7">
        <f t="shared" ca="1" si="9"/>
        <v>118</v>
      </c>
      <c r="P49" t="str">
        <f t="shared" ca="1" si="10"/>
        <v>90+ days</v>
      </c>
      <c r="Q49" t="str">
        <f t="shared" ca="1" si="11"/>
        <v>Aging Risk</v>
      </c>
    </row>
    <row r="50" spans="1:17">
      <c r="A50" t="str">
        <f>Raw_Data!A50</f>
        <v>PK-1049</v>
      </c>
      <c r="B50" t="str">
        <f>Raw_Data!B50</f>
        <v>Shipping Foam XL</v>
      </c>
      <c r="C50" t="str">
        <f>Raw_Data!C50</f>
        <v>Packaging</v>
      </c>
      <c r="D50" t="str">
        <f>Raw_Data!D50</f>
        <v>Fort Worth</v>
      </c>
      <c r="E50" s="6">
        <f>Raw_Data!E50</f>
        <v>200</v>
      </c>
      <c r="F50" s="6">
        <f>Raw_Data!F50</f>
        <v>75</v>
      </c>
      <c r="G50" s="6">
        <f>Raw_Data!G50</f>
        <v>450</v>
      </c>
      <c r="H50" s="4">
        <f>Raw_Data!H50</f>
        <v>142.32</v>
      </c>
      <c r="I50" t="str">
        <f>Raw_Data!I50</f>
        <v>AeroFast Supply Co.</v>
      </c>
      <c r="J50" s="5">
        <f>Raw_Data!J50</f>
        <v>46175</v>
      </c>
      <c r="K50" s="6">
        <f>Raw_Data!K50</f>
        <v>60</v>
      </c>
      <c r="L50" s="4">
        <f t="shared" si="6"/>
        <v>28464</v>
      </c>
      <c r="M50" t="str">
        <f t="shared" si="7"/>
        <v>OK</v>
      </c>
      <c r="N50" t="str">
        <f t="shared" si="8"/>
        <v>OK</v>
      </c>
      <c r="O50" s="7">
        <f t="shared" ca="1" si="9"/>
        <v>29</v>
      </c>
      <c r="P50" t="str">
        <f t="shared" ca="1" si="10"/>
        <v>0-30 days</v>
      </c>
      <c r="Q50" t="str">
        <f t="shared" ca="1" si="11"/>
        <v>OK</v>
      </c>
    </row>
    <row r="51" spans="1:17">
      <c r="A51" t="str">
        <f>Raw_Data!A51</f>
        <v>CH-1050</v>
      </c>
      <c r="B51" t="str">
        <f>Raw_Data!B51</f>
        <v>Solvent Cleaner B</v>
      </c>
      <c r="C51" t="str">
        <f>Raw_Data!C51</f>
        <v>Chemical</v>
      </c>
      <c r="D51" t="str">
        <f>Raw_Data!D51</f>
        <v>Fort Worth</v>
      </c>
      <c r="E51" s="6">
        <f>Raw_Data!E51</f>
        <v>31</v>
      </c>
      <c r="F51" s="6">
        <f>Raw_Data!F51</f>
        <v>100</v>
      </c>
      <c r="G51" s="6">
        <f>Raw_Data!G51</f>
        <v>600</v>
      </c>
      <c r="H51" s="4">
        <f>Raw_Data!H51</f>
        <v>871.8</v>
      </c>
      <c r="I51" t="str">
        <f>Raw_Data!I51</f>
        <v>Lone Star Industrial</v>
      </c>
      <c r="J51" s="5">
        <f>Raw_Data!J51</f>
        <v>46086</v>
      </c>
      <c r="K51" s="6">
        <f>Raw_Data!K51</f>
        <v>10</v>
      </c>
      <c r="L51" s="4">
        <f t="shared" si="6"/>
        <v>27025.8</v>
      </c>
      <c r="M51" t="str">
        <f t="shared" si="7"/>
        <v>Reorder Needed</v>
      </c>
      <c r="N51" t="str">
        <f t="shared" si="8"/>
        <v>OK</v>
      </c>
      <c r="O51" s="7">
        <f t="shared" ca="1" si="9"/>
        <v>118</v>
      </c>
      <c r="P51" t="str">
        <f t="shared" ca="1" si="10"/>
        <v>90+ days</v>
      </c>
      <c r="Q51" t="str">
        <f t="shared" si="11"/>
        <v>Low Stock</v>
      </c>
    </row>
    <row r="52" spans="1:17">
      <c r="A52" t="str">
        <f>Raw_Data!A52</f>
        <v>TL-1051</v>
      </c>
      <c r="B52" t="str">
        <f>Raw_Data!B52</f>
        <v>Torque Wrench D</v>
      </c>
      <c r="C52" t="str">
        <f>Raw_Data!C52</f>
        <v>Tools</v>
      </c>
      <c r="D52" t="str">
        <f>Raw_Data!D52</f>
        <v>San Antonio</v>
      </c>
      <c r="E52" s="6">
        <f>Raw_Data!E52</f>
        <v>164</v>
      </c>
      <c r="F52" s="6">
        <f>Raw_Data!F52</f>
        <v>50</v>
      </c>
      <c r="G52" s="6">
        <f>Raw_Data!G52</f>
        <v>250</v>
      </c>
      <c r="H52" s="4">
        <f>Raw_Data!H52</f>
        <v>582.99</v>
      </c>
      <c r="I52" t="str">
        <f>Raw_Data!I52</f>
        <v>Precision Pack &amp; Ship</v>
      </c>
      <c r="J52" s="5">
        <f>Raw_Data!J52</f>
        <v>46062</v>
      </c>
      <c r="K52" s="6">
        <f>Raw_Data!K52</f>
        <v>21</v>
      </c>
      <c r="L52" s="4">
        <f t="shared" si="6"/>
        <v>95610.36</v>
      </c>
      <c r="M52" t="str">
        <f t="shared" si="7"/>
        <v>OK</v>
      </c>
      <c r="N52" t="str">
        <f t="shared" si="8"/>
        <v>OK</v>
      </c>
      <c r="O52" s="7">
        <f t="shared" ca="1" si="9"/>
        <v>142</v>
      </c>
      <c r="P52" t="str">
        <f t="shared" ca="1" si="10"/>
        <v>90+ days</v>
      </c>
      <c r="Q52" t="str">
        <f t="shared" ca="1" si="11"/>
        <v>Aging Risk</v>
      </c>
    </row>
    <row r="53" spans="1:17">
      <c r="A53" t="str">
        <f>Raw_Data!A53</f>
        <v>HY-1052</v>
      </c>
      <c r="B53" t="str">
        <f>Raw_Data!B53</f>
        <v>Hydraulic Fitting STD</v>
      </c>
      <c r="C53" t="str">
        <f>Raw_Data!C53</f>
        <v>Hydraulic</v>
      </c>
      <c r="D53" t="str">
        <f>Raw_Data!D53</f>
        <v>Houston</v>
      </c>
      <c r="E53" s="6">
        <f>Raw_Data!E53</f>
        <v>138</v>
      </c>
      <c r="F53" s="6">
        <f>Raw_Data!F53</f>
        <v>30</v>
      </c>
      <c r="G53" s="6">
        <f>Raw_Data!G53</f>
        <v>150</v>
      </c>
      <c r="H53" s="4">
        <f>Raw_Data!H53</f>
        <v>606.67999999999995</v>
      </c>
      <c r="I53" t="str">
        <f>Raw_Data!I53</f>
        <v>DFW Tooling Supply</v>
      </c>
      <c r="J53" s="5">
        <f>Raw_Data!J53</f>
        <v>46042</v>
      </c>
      <c r="K53" s="6">
        <f>Raw_Data!K53</f>
        <v>10</v>
      </c>
      <c r="L53" s="4">
        <f t="shared" si="6"/>
        <v>83721.84</v>
      </c>
      <c r="M53" t="str">
        <f t="shared" si="7"/>
        <v>OK</v>
      </c>
      <c r="N53" t="str">
        <f t="shared" si="8"/>
        <v>OK</v>
      </c>
      <c r="O53" s="7">
        <f t="shared" ca="1" si="9"/>
        <v>162</v>
      </c>
      <c r="P53" t="str">
        <f t="shared" ca="1" si="10"/>
        <v>90+ days</v>
      </c>
      <c r="Q53" t="str">
        <f t="shared" ca="1" si="11"/>
        <v>Aging Risk</v>
      </c>
    </row>
    <row r="54" spans="1:17">
      <c r="A54" t="str">
        <f>Raw_Data!A54</f>
        <v>HW-1053</v>
      </c>
      <c r="B54" t="str">
        <f>Raw_Data!B54</f>
        <v>Titanium Bolt D</v>
      </c>
      <c r="C54" t="str">
        <f>Raw_Data!C54</f>
        <v>Hardware</v>
      </c>
      <c r="D54" t="str">
        <f>Raw_Data!D54</f>
        <v>Dallas</v>
      </c>
      <c r="E54" s="6">
        <f>Raw_Data!E54</f>
        <v>461</v>
      </c>
      <c r="F54" s="6">
        <f>Raw_Data!F54</f>
        <v>75</v>
      </c>
      <c r="G54" s="6">
        <f>Raw_Data!G54</f>
        <v>375</v>
      </c>
      <c r="H54" s="4">
        <f>Raw_Data!H54</f>
        <v>305.42</v>
      </c>
      <c r="I54" t="str">
        <f>Raw_Data!I54</f>
        <v>Lone Star Industrial</v>
      </c>
      <c r="J54" s="5">
        <f>Raw_Data!J54</f>
        <v>46167</v>
      </c>
      <c r="K54" s="6">
        <f>Raw_Data!K54</f>
        <v>10</v>
      </c>
      <c r="L54" s="4">
        <f t="shared" si="6"/>
        <v>140798.62</v>
      </c>
      <c r="M54" t="str">
        <f t="shared" si="7"/>
        <v>OK</v>
      </c>
      <c r="N54" t="str">
        <f t="shared" si="8"/>
        <v>Overstock</v>
      </c>
      <c r="O54" s="7">
        <f t="shared" ca="1" si="9"/>
        <v>37</v>
      </c>
      <c r="P54" t="str">
        <f t="shared" ca="1" si="10"/>
        <v>31-60 days</v>
      </c>
      <c r="Q54" t="str">
        <f t="shared" si="11"/>
        <v>Overstock</v>
      </c>
    </row>
    <row r="55" spans="1:17">
      <c r="A55" t="str">
        <f>Raw_Data!A55</f>
        <v>HY-1054</v>
      </c>
      <c r="B55" t="str">
        <f>Raw_Data!B55</f>
        <v>O-Ring Seal D</v>
      </c>
      <c r="C55" t="str">
        <f>Raw_Data!C55</f>
        <v>Hydraulic</v>
      </c>
      <c r="D55" t="str">
        <f>Raw_Data!D55</f>
        <v>Fort Worth</v>
      </c>
      <c r="E55" s="6">
        <f>Raw_Data!E55</f>
        <v>52</v>
      </c>
      <c r="F55" s="6">
        <f>Raw_Data!F55</f>
        <v>75</v>
      </c>
      <c r="G55" s="6">
        <f>Raw_Data!G55</f>
        <v>300</v>
      </c>
      <c r="H55" s="4">
        <f>Raw_Data!H55</f>
        <v>316.01</v>
      </c>
      <c r="I55" t="str">
        <f>Raw_Data!I55</f>
        <v>DFW Tooling Supply</v>
      </c>
      <c r="J55" s="5">
        <f>Raw_Data!J55</f>
        <v>46096</v>
      </c>
      <c r="K55" s="6">
        <f>Raw_Data!K55</f>
        <v>7</v>
      </c>
      <c r="L55" s="4">
        <f t="shared" si="6"/>
        <v>16432.52</v>
      </c>
      <c r="M55" t="str">
        <f t="shared" si="7"/>
        <v>Reorder Needed</v>
      </c>
      <c r="N55" t="str">
        <f t="shared" si="8"/>
        <v>OK</v>
      </c>
      <c r="O55" s="7">
        <f t="shared" ca="1" si="9"/>
        <v>108</v>
      </c>
      <c r="P55" t="str">
        <f t="shared" ca="1" si="10"/>
        <v>90+ days</v>
      </c>
      <c r="Q55" t="str">
        <f t="shared" si="11"/>
        <v>Low Stock</v>
      </c>
    </row>
    <row r="56" spans="1:17">
      <c r="A56" t="str">
        <f>Raw_Data!A56</f>
        <v>HY-1055</v>
      </c>
      <c r="B56" t="str">
        <f>Raw_Data!B56</f>
        <v>O-Ring Seal D</v>
      </c>
      <c r="C56" t="str">
        <f>Raw_Data!C56</f>
        <v>Hydraulic</v>
      </c>
      <c r="D56" t="str">
        <f>Raw_Data!D56</f>
        <v>Houston</v>
      </c>
      <c r="E56" s="6">
        <f>Raw_Data!E56</f>
        <v>296</v>
      </c>
      <c r="F56" s="6">
        <f>Raw_Data!F56</f>
        <v>100</v>
      </c>
      <c r="G56" s="6">
        <f>Raw_Data!G56</f>
        <v>300</v>
      </c>
      <c r="H56" s="4">
        <f>Raw_Data!H56</f>
        <v>547.97</v>
      </c>
      <c r="I56" t="str">
        <f>Raw_Data!I56</f>
        <v>DFW Tooling Supply</v>
      </c>
      <c r="J56" s="5">
        <f>Raw_Data!J56</f>
        <v>46201</v>
      </c>
      <c r="K56" s="6">
        <f>Raw_Data!K56</f>
        <v>14</v>
      </c>
      <c r="L56" s="4">
        <f t="shared" si="6"/>
        <v>162199.12</v>
      </c>
      <c r="M56" t="str">
        <f t="shared" si="7"/>
        <v>OK</v>
      </c>
      <c r="N56" t="str">
        <f t="shared" si="8"/>
        <v>OK</v>
      </c>
      <c r="O56" s="7">
        <f t="shared" ca="1" si="9"/>
        <v>3</v>
      </c>
      <c r="P56" t="str">
        <f t="shared" ca="1" si="10"/>
        <v>0-30 days</v>
      </c>
      <c r="Q56" t="str">
        <f t="shared" ca="1" si="11"/>
        <v>OK</v>
      </c>
    </row>
    <row r="57" spans="1:17">
      <c r="A57" t="str">
        <f>Raw_Data!A57</f>
        <v>HW-1056</v>
      </c>
      <c r="B57" t="str">
        <f>Raw_Data!B57</f>
        <v>Titanium Bolt D</v>
      </c>
      <c r="C57" t="str">
        <f>Raw_Data!C57</f>
        <v>Hardware</v>
      </c>
      <c r="D57" t="str">
        <f>Raw_Data!D57</f>
        <v>Houston</v>
      </c>
      <c r="E57" s="6">
        <f>Raw_Data!E57</f>
        <v>120</v>
      </c>
      <c r="F57" s="6">
        <f>Raw_Data!F57</f>
        <v>50</v>
      </c>
      <c r="G57" s="6">
        <f>Raw_Data!G57</f>
        <v>200</v>
      </c>
      <c r="H57" s="4">
        <f>Raw_Data!H57</f>
        <v>415.45</v>
      </c>
      <c r="I57" t="str">
        <f>Raw_Data!I57</f>
        <v>AeroFast Supply Co.</v>
      </c>
      <c r="J57" s="5">
        <f>Raw_Data!J57</f>
        <v>46103</v>
      </c>
      <c r="K57" s="6">
        <f>Raw_Data!K57</f>
        <v>14</v>
      </c>
      <c r="L57" s="4">
        <f t="shared" si="6"/>
        <v>49854</v>
      </c>
      <c r="M57" t="str">
        <f t="shared" si="7"/>
        <v>OK</v>
      </c>
      <c r="N57" t="str">
        <f t="shared" si="8"/>
        <v>OK</v>
      </c>
      <c r="O57" s="7">
        <f t="shared" ca="1" si="9"/>
        <v>101</v>
      </c>
      <c r="P57" t="str">
        <f t="shared" ca="1" si="10"/>
        <v>90+ days</v>
      </c>
      <c r="Q57" t="str">
        <f t="shared" ca="1" si="11"/>
        <v>Aging Risk</v>
      </c>
    </row>
    <row r="58" spans="1:17">
      <c r="A58" t="str">
        <f>Raw_Data!A58</f>
        <v>PK-1057</v>
      </c>
      <c r="B58" t="str">
        <f>Raw_Data!B58</f>
        <v>Shipping Foam STD</v>
      </c>
      <c r="C58" t="str">
        <f>Raw_Data!C58</f>
        <v>Packaging</v>
      </c>
      <c r="D58" t="str">
        <f>Raw_Data!D58</f>
        <v>Houston</v>
      </c>
      <c r="E58" s="6">
        <f>Raw_Data!E58</f>
        <v>108</v>
      </c>
      <c r="F58" s="6">
        <f>Raw_Data!F58</f>
        <v>75</v>
      </c>
      <c r="G58" s="6">
        <f>Raw_Data!G58</f>
        <v>300</v>
      </c>
      <c r="H58" s="4">
        <f>Raw_Data!H58</f>
        <v>931.73</v>
      </c>
      <c r="I58" t="str">
        <f>Raw_Data!I58</f>
        <v>AeroFast Supply Co.</v>
      </c>
      <c r="J58" s="5">
        <f>Raw_Data!J58</f>
        <v>46102</v>
      </c>
      <c r="K58" s="6">
        <f>Raw_Data!K58</f>
        <v>30</v>
      </c>
      <c r="L58" s="4">
        <f t="shared" si="6"/>
        <v>100626.84</v>
      </c>
      <c r="M58" t="str">
        <f t="shared" si="7"/>
        <v>OK</v>
      </c>
      <c r="N58" t="str">
        <f t="shared" si="8"/>
        <v>OK</v>
      </c>
      <c r="O58" s="7">
        <f t="shared" ca="1" si="9"/>
        <v>102</v>
      </c>
      <c r="P58" t="str">
        <f t="shared" ca="1" si="10"/>
        <v>90+ days</v>
      </c>
      <c r="Q58" t="str">
        <f t="shared" ca="1" si="11"/>
        <v>Aging Risk</v>
      </c>
    </row>
    <row r="59" spans="1:17">
      <c r="A59" t="str">
        <f>Raw_Data!A59</f>
        <v>AV-1058</v>
      </c>
      <c r="B59" t="str">
        <f>Raw_Data!B59</f>
        <v>Control Relay STD</v>
      </c>
      <c r="C59" t="str">
        <f>Raw_Data!C59</f>
        <v>Avionics</v>
      </c>
      <c r="D59" t="str">
        <f>Raw_Data!D59</f>
        <v>Dallas</v>
      </c>
      <c r="E59" s="6">
        <f>Raw_Data!E59</f>
        <v>7</v>
      </c>
      <c r="F59" s="6">
        <f>Raw_Data!F59</f>
        <v>10</v>
      </c>
      <c r="G59" s="6">
        <f>Raw_Data!G59</f>
        <v>60</v>
      </c>
      <c r="H59" s="4">
        <f>Raw_Data!H59</f>
        <v>174.69</v>
      </c>
      <c r="I59" t="str">
        <f>Raw_Data!I59</f>
        <v>Northline Chemicals</v>
      </c>
      <c r="J59" s="5">
        <f>Raw_Data!J59</f>
        <v>46105</v>
      </c>
      <c r="K59" s="6">
        <f>Raw_Data!K59</f>
        <v>14</v>
      </c>
      <c r="L59" s="4">
        <f t="shared" si="6"/>
        <v>1222.83</v>
      </c>
      <c r="M59" t="str">
        <f t="shared" si="7"/>
        <v>Reorder Needed</v>
      </c>
      <c r="N59" t="str">
        <f t="shared" si="8"/>
        <v>OK</v>
      </c>
      <c r="O59" s="7">
        <f t="shared" ca="1" si="9"/>
        <v>99</v>
      </c>
      <c r="P59" t="str">
        <f t="shared" ca="1" si="10"/>
        <v>90+ days</v>
      </c>
      <c r="Q59" t="str">
        <f t="shared" si="11"/>
        <v>Low Stock</v>
      </c>
    </row>
    <row r="60" spans="1:17">
      <c r="A60" t="str">
        <f>Raw_Data!A60</f>
        <v>HY-1059</v>
      </c>
      <c r="B60" t="str">
        <f>Raw_Data!B60</f>
        <v>O-Ring Seal D</v>
      </c>
      <c r="C60" t="str">
        <f>Raw_Data!C60</f>
        <v>Hydraulic</v>
      </c>
      <c r="D60" t="str">
        <f>Raw_Data!D60</f>
        <v>Austin</v>
      </c>
      <c r="E60" s="6">
        <f>Raw_Data!E60</f>
        <v>204</v>
      </c>
      <c r="F60" s="6">
        <f>Raw_Data!F60</f>
        <v>25</v>
      </c>
      <c r="G60" s="6">
        <f>Raw_Data!G60</f>
        <v>150</v>
      </c>
      <c r="H60" s="4">
        <f>Raw_Data!H60</f>
        <v>241.53</v>
      </c>
      <c r="I60" t="str">
        <f>Raw_Data!I60</f>
        <v>Lone Star Industrial</v>
      </c>
      <c r="J60" s="5">
        <f>Raw_Data!J60</f>
        <v>46082</v>
      </c>
      <c r="K60" s="6">
        <f>Raw_Data!K60</f>
        <v>7</v>
      </c>
      <c r="L60" s="4">
        <f t="shared" si="6"/>
        <v>49272.12</v>
      </c>
      <c r="M60" t="str">
        <f t="shared" si="7"/>
        <v>OK</v>
      </c>
      <c r="N60" t="str">
        <f t="shared" si="8"/>
        <v>Overstock</v>
      </c>
      <c r="O60" s="7">
        <f t="shared" ca="1" si="9"/>
        <v>122</v>
      </c>
      <c r="P60" t="str">
        <f t="shared" ca="1" si="10"/>
        <v>90+ days</v>
      </c>
      <c r="Q60" t="str">
        <f t="shared" si="11"/>
        <v>Overstock</v>
      </c>
    </row>
    <row r="61" spans="1:17">
      <c r="A61" t="str">
        <f>Raw_Data!A61</f>
        <v>PK-1060</v>
      </c>
      <c r="B61" t="str">
        <f>Raw_Data!B61</f>
        <v>Crate Insert XL</v>
      </c>
      <c r="C61" t="str">
        <f>Raw_Data!C61</f>
        <v>Packaging</v>
      </c>
      <c r="D61" t="str">
        <f>Raw_Data!D61</f>
        <v>Dallas</v>
      </c>
      <c r="E61" s="6">
        <f>Raw_Data!E61</f>
        <v>31</v>
      </c>
      <c r="F61" s="6">
        <f>Raw_Data!F61</f>
        <v>25</v>
      </c>
      <c r="G61" s="6">
        <f>Raw_Data!G61</f>
        <v>100</v>
      </c>
      <c r="H61" s="4">
        <f>Raw_Data!H61</f>
        <v>717.14</v>
      </c>
      <c r="I61" t="str">
        <f>Raw_Data!I61</f>
        <v>Vector Components</v>
      </c>
      <c r="J61" s="5">
        <f>Raw_Data!J61</f>
        <v>46151</v>
      </c>
      <c r="K61" s="6">
        <f>Raw_Data!K61</f>
        <v>60</v>
      </c>
      <c r="L61" s="4">
        <f t="shared" si="6"/>
        <v>22231.34</v>
      </c>
      <c r="M61" t="str">
        <f t="shared" si="7"/>
        <v>OK</v>
      </c>
      <c r="N61" t="str">
        <f t="shared" si="8"/>
        <v>OK</v>
      </c>
      <c r="O61" s="7">
        <f t="shared" ca="1" si="9"/>
        <v>53</v>
      </c>
      <c r="P61" t="str">
        <f t="shared" ca="1" si="10"/>
        <v>31-60 days</v>
      </c>
      <c r="Q61" t="str">
        <f t="shared" ca="1" si="11"/>
        <v>OK</v>
      </c>
    </row>
    <row r="62" spans="1:17">
      <c r="A62" t="str">
        <f>Raw_Data!A62</f>
        <v>EL-1061</v>
      </c>
      <c r="B62" t="str">
        <f>Raw_Data!B62</f>
        <v>Circuit Breaker XL</v>
      </c>
      <c r="C62" t="str">
        <f>Raw_Data!C62</f>
        <v>Electrical</v>
      </c>
      <c r="D62" t="str">
        <f>Raw_Data!D62</f>
        <v>Fort Worth</v>
      </c>
      <c r="E62" s="6">
        <f>Raw_Data!E62</f>
        <v>28</v>
      </c>
      <c r="F62" s="6">
        <f>Raw_Data!F62</f>
        <v>20</v>
      </c>
      <c r="G62" s="6">
        <f>Raw_Data!G62</f>
        <v>80</v>
      </c>
      <c r="H62" s="4">
        <f>Raw_Data!H62</f>
        <v>536.86</v>
      </c>
      <c r="I62" t="str">
        <f>Raw_Data!I62</f>
        <v>Vector Components</v>
      </c>
      <c r="J62" s="5">
        <f>Raw_Data!J62</f>
        <v>46083</v>
      </c>
      <c r="K62" s="6">
        <f>Raw_Data!K62</f>
        <v>45</v>
      </c>
      <c r="L62" s="4">
        <f t="shared" si="6"/>
        <v>15032.08</v>
      </c>
      <c r="M62" t="str">
        <f t="shared" si="7"/>
        <v>OK</v>
      </c>
      <c r="N62" t="str">
        <f t="shared" si="8"/>
        <v>OK</v>
      </c>
      <c r="O62" s="7">
        <f t="shared" ca="1" si="9"/>
        <v>121</v>
      </c>
      <c r="P62" t="str">
        <f t="shared" ca="1" si="10"/>
        <v>90+ days</v>
      </c>
      <c r="Q62" t="str">
        <f t="shared" ca="1" si="11"/>
        <v>Aging Risk</v>
      </c>
    </row>
    <row r="63" spans="1:17">
      <c r="A63" t="str">
        <f>Raw_Data!A63</f>
        <v>HW-1062</v>
      </c>
      <c r="B63" t="str">
        <f>Raw_Data!B63</f>
        <v>Titanium Bolt C</v>
      </c>
      <c r="C63" t="str">
        <f>Raw_Data!C63</f>
        <v>Hardware</v>
      </c>
      <c r="D63" t="str">
        <f>Raw_Data!D63</f>
        <v>Fort Worth</v>
      </c>
      <c r="E63" s="6">
        <f>Raw_Data!E63</f>
        <v>71</v>
      </c>
      <c r="F63" s="6">
        <f>Raw_Data!F63</f>
        <v>50</v>
      </c>
      <c r="G63" s="6">
        <f>Raw_Data!G63</f>
        <v>150</v>
      </c>
      <c r="H63" s="4">
        <f>Raw_Data!H63</f>
        <v>916.57</v>
      </c>
      <c r="I63" t="str">
        <f>Raw_Data!I63</f>
        <v>Lone Star Industrial</v>
      </c>
      <c r="J63" s="5">
        <f>Raw_Data!J63</f>
        <v>46054</v>
      </c>
      <c r="K63" s="6">
        <f>Raw_Data!K63</f>
        <v>7</v>
      </c>
      <c r="L63" s="4">
        <f t="shared" si="6"/>
        <v>65076.47</v>
      </c>
      <c r="M63" t="str">
        <f t="shared" si="7"/>
        <v>OK</v>
      </c>
      <c r="N63" t="str">
        <f t="shared" si="8"/>
        <v>OK</v>
      </c>
      <c r="O63" s="7">
        <f t="shared" ca="1" si="9"/>
        <v>150</v>
      </c>
      <c r="P63" t="str">
        <f t="shared" ca="1" si="10"/>
        <v>90+ days</v>
      </c>
      <c r="Q63" t="str">
        <f t="shared" ca="1" si="11"/>
        <v>Aging Risk</v>
      </c>
    </row>
    <row r="64" spans="1:17">
      <c r="A64" t="str">
        <f>Raw_Data!A64</f>
        <v>HW-1063</v>
      </c>
      <c r="B64" t="str">
        <f>Raw_Data!B64</f>
        <v>Titanium Bolt XL</v>
      </c>
      <c r="C64" t="str">
        <f>Raw_Data!C64</f>
        <v>Hardware</v>
      </c>
      <c r="D64" t="str">
        <f>Raw_Data!D64</f>
        <v>Houston</v>
      </c>
      <c r="E64" s="6">
        <f>Raw_Data!E64</f>
        <v>22</v>
      </c>
      <c r="F64" s="6">
        <f>Raw_Data!F64</f>
        <v>30</v>
      </c>
      <c r="G64" s="6">
        <f>Raw_Data!G64</f>
        <v>120</v>
      </c>
      <c r="H64" s="4">
        <f>Raw_Data!H64</f>
        <v>789.47</v>
      </c>
      <c r="I64" t="str">
        <f>Raw_Data!I64</f>
        <v>Vector Components</v>
      </c>
      <c r="J64" s="5">
        <f>Raw_Data!J64</f>
        <v>46176</v>
      </c>
      <c r="K64" s="6">
        <f>Raw_Data!K64</f>
        <v>45</v>
      </c>
      <c r="L64" s="4">
        <f t="shared" si="6"/>
        <v>17368.34</v>
      </c>
      <c r="M64" t="str">
        <f t="shared" si="7"/>
        <v>Reorder Needed</v>
      </c>
      <c r="N64" t="str">
        <f t="shared" si="8"/>
        <v>OK</v>
      </c>
      <c r="O64" s="7">
        <f t="shared" ca="1" si="9"/>
        <v>28</v>
      </c>
      <c r="P64" t="str">
        <f t="shared" ca="1" si="10"/>
        <v>0-30 days</v>
      </c>
      <c r="Q64" t="str">
        <f t="shared" si="11"/>
        <v>Low Stock</v>
      </c>
    </row>
    <row r="65" spans="1:17">
      <c r="A65" t="str">
        <f>Raw_Data!A65</f>
        <v>TL-1064</v>
      </c>
      <c r="B65" t="str">
        <f>Raw_Data!B65</f>
        <v>Torque Wrench C</v>
      </c>
      <c r="C65" t="str">
        <f>Raw_Data!C65</f>
        <v>Tools</v>
      </c>
      <c r="D65" t="str">
        <f>Raw_Data!D65</f>
        <v>San Antonio</v>
      </c>
      <c r="E65" s="6">
        <f>Raw_Data!E65</f>
        <v>245</v>
      </c>
      <c r="F65" s="6">
        <f>Raw_Data!F65</f>
        <v>100</v>
      </c>
      <c r="G65" s="6">
        <f>Raw_Data!G65</f>
        <v>300</v>
      </c>
      <c r="H65" s="4">
        <f>Raw_Data!H65</f>
        <v>744.05</v>
      </c>
      <c r="I65" t="str">
        <f>Raw_Data!I65</f>
        <v>Skyway Parts LLC</v>
      </c>
      <c r="J65" s="5">
        <f>Raw_Data!J65</f>
        <v>46066</v>
      </c>
      <c r="K65" s="6">
        <f>Raw_Data!K65</f>
        <v>21</v>
      </c>
      <c r="L65" s="4">
        <f t="shared" si="6"/>
        <v>182292.25</v>
      </c>
      <c r="M65" t="str">
        <f t="shared" si="7"/>
        <v>OK</v>
      </c>
      <c r="N65" t="str">
        <f t="shared" si="8"/>
        <v>OK</v>
      </c>
      <c r="O65" s="7">
        <f t="shared" ca="1" si="9"/>
        <v>138</v>
      </c>
      <c r="P65" t="str">
        <f t="shared" ca="1" si="10"/>
        <v>90+ days</v>
      </c>
      <c r="Q65" t="str">
        <f t="shared" ca="1" si="11"/>
        <v>Aging Risk</v>
      </c>
    </row>
    <row r="66" spans="1:17">
      <c r="A66" t="str">
        <f>Raw_Data!A66</f>
        <v>PK-1065</v>
      </c>
      <c r="B66" t="str">
        <f>Raw_Data!B66</f>
        <v>Shipping Foam C</v>
      </c>
      <c r="C66" t="str">
        <f>Raw_Data!C66</f>
        <v>Packaging</v>
      </c>
      <c r="D66" t="str">
        <f>Raw_Data!D66</f>
        <v>Dallas</v>
      </c>
      <c r="E66" s="6">
        <f>Raw_Data!E66</f>
        <v>26</v>
      </c>
      <c r="F66" s="6">
        <f>Raw_Data!F66</f>
        <v>50</v>
      </c>
      <c r="G66" s="6">
        <f>Raw_Data!G66</f>
        <v>250</v>
      </c>
      <c r="H66" s="4">
        <f>Raw_Data!H66</f>
        <v>781.66</v>
      </c>
      <c r="I66" t="str">
        <f>Raw_Data!I66</f>
        <v>Lone Star Industrial</v>
      </c>
      <c r="J66" s="5">
        <f>Raw_Data!J66</f>
        <v>46092</v>
      </c>
      <c r="K66" s="6">
        <f>Raw_Data!K66</f>
        <v>14</v>
      </c>
      <c r="L66" s="4">
        <f t="shared" ref="L66:L81" si="12">E66*H66</f>
        <v>20323.16</v>
      </c>
      <c r="M66" t="str">
        <f t="shared" ref="M66:M81" si="13">IF(E66&lt;=F66,"Reorder Needed","OK")</f>
        <v>Reorder Needed</v>
      </c>
      <c r="N66" t="str">
        <f t="shared" ref="N66:N81" si="14">IF(E66&gt;G66,"Overstock","OK")</f>
        <v>OK</v>
      </c>
      <c r="O66" s="7">
        <f t="shared" ref="O66:O81" ca="1" si="15">TODAY()-J66</f>
        <v>112</v>
      </c>
      <c r="P66" t="str">
        <f t="shared" ref="P66:P97" ca="1" si="16">IF(O66&lt;=30,"0-30 days",IF(O66&lt;=60,"31-60 days",IF(O66&lt;=90,"61-90 days","90+ days")))</f>
        <v>90+ days</v>
      </c>
      <c r="Q66" t="str">
        <f t="shared" ref="Q66:Q97" si="17">IF(M66="Reorder Needed","Low Stock",IF(N66="Overstock","Overstock",IF(P66="90+ days","Aging Risk","OK")))</f>
        <v>Low Stock</v>
      </c>
    </row>
    <row r="67" spans="1:17">
      <c r="A67" t="str">
        <f>Raw_Data!A67</f>
        <v>PK-1066</v>
      </c>
      <c r="B67" t="str">
        <f>Raw_Data!B67</f>
        <v>Shipping Foam D</v>
      </c>
      <c r="C67" t="str">
        <f>Raw_Data!C67</f>
        <v>Packaging</v>
      </c>
      <c r="D67" t="str">
        <f>Raw_Data!D67</f>
        <v>Fort Worth</v>
      </c>
      <c r="E67" s="6">
        <f>Raw_Data!E67</f>
        <v>114</v>
      </c>
      <c r="F67" s="6">
        <f>Raw_Data!F67</f>
        <v>30</v>
      </c>
      <c r="G67" s="6">
        <f>Raw_Data!G67</f>
        <v>120</v>
      </c>
      <c r="H67" s="4">
        <f>Raw_Data!H67</f>
        <v>258.39999999999998</v>
      </c>
      <c r="I67" t="str">
        <f>Raw_Data!I67</f>
        <v>DFW Tooling Supply</v>
      </c>
      <c r="J67" s="5">
        <f>Raw_Data!J67</f>
        <v>46083</v>
      </c>
      <c r="K67" s="6">
        <f>Raw_Data!K67</f>
        <v>21</v>
      </c>
      <c r="L67" s="4">
        <f t="shared" si="12"/>
        <v>29457.599999999999</v>
      </c>
      <c r="M67" t="str">
        <f t="shared" si="13"/>
        <v>OK</v>
      </c>
      <c r="N67" t="str">
        <f t="shared" si="14"/>
        <v>OK</v>
      </c>
      <c r="O67" s="7">
        <f t="shared" ca="1" si="15"/>
        <v>121</v>
      </c>
      <c r="P67" t="str">
        <f t="shared" ca="1" si="16"/>
        <v>90+ days</v>
      </c>
      <c r="Q67" t="str">
        <f t="shared" ca="1" si="17"/>
        <v>Aging Risk</v>
      </c>
    </row>
    <row r="68" spans="1:17">
      <c r="A68" t="str">
        <f>Raw_Data!A68</f>
        <v>TL-1067</v>
      </c>
      <c r="B68" t="str">
        <f>Raw_Data!B68</f>
        <v>Inspection Gauge STD</v>
      </c>
      <c r="C68" t="str">
        <f>Raw_Data!C68</f>
        <v>Tools</v>
      </c>
      <c r="D68" t="str">
        <f>Raw_Data!D68</f>
        <v>San Antonio</v>
      </c>
      <c r="E68" s="6">
        <f>Raw_Data!E68</f>
        <v>37</v>
      </c>
      <c r="F68" s="6">
        <f>Raw_Data!F68</f>
        <v>25</v>
      </c>
      <c r="G68" s="6">
        <f>Raw_Data!G68</f>
        <v>125</v>
      </c>
      <c r="H68" s="4">
        <f>Raw_Data!H68</f>
        <v>266.77999999999997</v>
      </c>
      <c r="I68" t="str">
        <f>Raw_Data!I68</f>
        <v>DFW Tooling Supply</v>
      </c>
      <c r="J68" s="5">
        <f>Raw_Data!J68</f>
        <v>46140</v>
      </c>
      <c r="K68" s="6">
        <f>Raw_Data!K68</f>
        <v>60</v>
      </c>
      <c r="L68" s="4">
        <f t="shared" si="12"/>
        <v>9870.8599999999988</v>
      </c>
      <c r="M68" t="str">
        <f t="shared" si="13"/>
        <v>OK</v>
      </c>
      <c r="N68" t="str">
        <f t="shared" si="14"/>
        <v>OK</v>
      </c>
      <c r="O68" s="7">
        <f t="shared" ca="1" si="15"/>
        <v>64</v>
      </c>
      <c r="P68" t="str">
        <f t="shared" ca="1" si="16"/>
        <v>61-90 days</v>
      </c>
      <c r="Q68" t="str">
        <f t="shared" ca="1" si="17"/>
        <v>OK</v>
      </c>
    </row>
    <row r="69" spans="1:17">
      <c r="A69" t="str">
        <f>Raw_Data!A69</f>
        <v>CH-1068</v>
      </c>
      <c r="B69" t="str">
        <f>Raw_Data!B69</f>
        <v>Primer Coating XL</v>
      </c>
      <c r="C69" t="str">
        <f>Raw_Data!C69</f>
        <v>Chemical</v>
      </c>
      <c r="D69" t="str">
        <f>Raw_Data!D69</f>
        <v>San Antonio</v>
      </c>
      <c r="E69" s="6">
        <f>Raw_Data!E69</f>
        <v>329</v>
      </c>
      <c r="F69" s="6">
        <f>Raw_Data!F69</f>
        <v>75</v>
      </c>
      <c r="G69" s="6">
        <f>Raw_Data!G69</f>
        <v>450</v>
      </c>
      <c r="H69" s="4">
        <f>Raw_Data!H69</f>
        <v>808.78</v>
      </c>
      <c r="I69" t="str">
        <f>Raw_Data!I69</f>
        <v>Metro Hardware Group</v>
      </c>
      <c r="J69" s="5">
        <f>Raw_Data!J69</f>
        <v>46078</v>
      </c>
      <c r="K69" s="6">
        <f>Raw_Data!K69</f>
        <v>10</v>
      </c>
      <c r="L69" s="4">
        <f t="shared" si="12"/>
        <v>266088.62</v>
      </c>
      <c r="M69" t="str">
        <f t="shared" si="13"/>
        <v>OK</v>
      </c>
      <c r="N69" t="str">
        <f t="shared" si="14"/>
        <v>OK</v>
      </c>
      <c r="O69" s="7">
        <f t="shared" ca="1" si="15"/>
        <v>126</v>
      </c>
      <c r="P69" t="str">
        <f t="shared" ca="1" si="16"/>
        <v>90+ days</v>
      </c>
      <c r="Q69" t="str">
        <f t="shared" ca="1" si="17"/>
        <v>Aging Risk</v>
      </c>
    </row>
    <row r="70" spans="1:17">
      <c r="A70" t="str">
        <f>Raw_Data!A70</f>
        <v>HW-1069</v>
      </c>
      <c r="B70" t="str">
        <f>Raw_Data!B70</f>
        <v>Washer Kit C</v>
      </c>
      <c r="C70" t="str">
        <f>Raw_Data!C70</f>
        <v>Hardware</v>
      </c>
      <c r="D70" t="str">
        <f>Raw_Data!D70</f>
        <v>Austin</v>
      </c>
      <c r="E70" s="6">
        <f>Raw_Data!E70</f>
        <v>92</v>
      </c>
      <c r="F70" s="6">
        <f>Raw_Data!F70</f>
        <v>25</v>
      </c>
      <c r="G70" s="6">
        <f>Raw_Data!G70</f>
        <v>125</v>
      </c>
      <c r="H70" s="4">
        <f>Raw_Data!H70</f>
        <v>900.79</v>
      </c>
      <c r="I70" t="str">
        <f>Raw_Data!I70</f>
        <v>Lone Star Industrial</v>
      </c>
      <c r="J70" s="5">
        <f>Raw_Data!J70</f>
        <v>46141</v>
      </c>
      <c r="K70" s="6">
        <f>Raw_Data!K70</f>
        <v>45</v>
      </c>
      <c r="L70" s="4">
        <f t="shared" si="12"/>
        <v>82872.679999999993</v>
      </c>
      <c r="M70" t="str">
        <f t="shared" si="13"/>
        <v>OK</v>
      </c>
      <c r="N70" t="str">
        <f t="shared" si="14"/>
        <v>OK</v>
      </c>
      <c r="O70" s="7">
        <f t="shared" ca="1" si="15"/>
        <v>63</v>
      </c>
      <c r="P70" t="str">
        <f t="shared" ca="1" si="16"/>
        <v>61-90 days</v>
      </c>
      <c r="Q70" t="str">
        <f t="shared" ca="1" si="17"/>
        <v>OK</v>
      </c>
    </row>
    <row r="71" spans="1:17">
      <c r="A71" t="str">
        <f>Raw_Data!A71</f>
        <v>CH-1070</v>
      </c>
      <c r="B71" t="str">
        <f>Raw_Data!B71</f>
        <v>Solvent Cleaner D</v>
      </c>
      <c r="C71" t="str">
        <f>Raw_Data!C71</f>
        <v>Chemical</v>
      </c>
      <c r="D71" t="str">
        <f>Raw_Data!D71</f>
        <v>San Antonio</v>
      </c>
      <c r="E71" s="6">
        <f>Raw_Data!E71</f>
        <v>352</v>
      </c>
      <c r="F71" s="6">
        <f>Raw_Data!F71</f>
        <v>100</v>
      </c>
      <c r="G71" s="6">
        <f>Raw_Data!G71</f>
        <v>400</v>
      </c>
      <c r="H71" s="4">
        <f>Raw_Data!H71</f>
        <v>427.15</v>
      </c>
      <c r="I71" t="str">
        <f>Raw_Data!I71</f>
        <v>AeroFast Supply Co.</v>
      </c>
      <c r="J71" s="5">
        <f>Raw_Data!J71</f>
        <v>46179</v>
      </c>
      <c r="K71" s="6">
        <f>Raw_Data!K71</f>
        <v>14</v>
      </c>
      <c r="L71" s="4">
        <f t="shared" si="12"/>
        <v>150356.79999999999</v>
      </c>
      <c r="M71" t="str">
        <f t="shared" si="13"/>
        <v>OK</v>
      </c>
      <c r="N71" t="str">
        <f t="shared" si="14"/>
        <v>OK</v>
      </c>
      <c r="O71" s="7">
        <f t="shared" ca="1" si="15"/>
        <v>25</v>
      </c>
      <c r="P71" t="str">
        <f t="shared" ca="1" si="16"/>
        <v>0-30 days</v>
      </c>
      <c r="Q71" t="str">
        <f t="shared" ca="1" si="17"/>
        <v>OK</v>
      </c>
    </row>
    <row r="72" spans="1:17">
      <c r="A72" t="str">
        <f>Raw_Data!A72</f>
        <v>HY-1071</v>
      </c>
      <c r="B72" t="str">
        <f>Raw_Data!B72</f>
        <v>O-Ring Seal D</v>
      </c>
      <c r="C72" t="str">
        <f>Raw_Data!C72</f>
        <v>Hydraulic</v>
      </c>
      <c r="D72" t="str">
        <f>Raw_Data!D72</f>
        <v>Fort Worth</v>
      </c>
      <c r="E72" s="6">
        <f>Raw_Data!E72</f>
        <v>93</v>
      </c>
      <c r="F72" s="6">
        <f>Raw_Data!F72</f>
        <v>25</v>
      </c>
      <c r="G72" s="6">
        <f>Raw_Data!G72</f>
        <v>125</v>
      </c>
      <c r="H72" s="4">
        <f>Raw_Data!H72</f>
        <v>328.21</v>
      </c>
      <c r="I72" t="str">
        <f>Raw_Data!I72</f>
        <v>Skyway Parts LLC</v>
      </c>
      <c r="J72" s="5">
        <f>Raw_Data!J72</f>
        <v>46112</v>
      </c>
      <c r="K72" s="6">
        <f>Raw_Data!K72</f>
        <v>45</v>
      </c>
      <c r="L72" s="4">
        <f t="shared" si="12"/>
        <v>30523.53</v>
      </c>
      <c r="M72" t="str">
        <f t="shared" si="13"/>
        <v>OK</v>
      </c>
      <c r="N72" t="str">
        <f t="shared" si="14"/>
        <v>OK</v>
      </c>
      <c r="O72" s="7">
        <f t="shared" ca="1" si="15"/>
        <v>92</v>
      </c>
      <c r="P72" t="str">
        <f t="shared" ca="1" si="16"/>
        <v>90+ days</v>
      </c>
      <c r="Q72" t="str">
        <f t="shared" ca="1" si="17"/>
        <v>Aging Risk</v>
      </c>
    </row>
    <row r="73" spans="1:17">
      <c r="A73" t="str">
        <f>Raw_Data!A73</f>
        <v>CH-1072</v>
      </c>
      <c r="B73" t="str">
        <f>Raw_Data!B73</f>
        <v>Primer Coating C</v>
      </c>
      <c r="C73" t="str">
        <f>Raw_Data!C73</f>
        <v>Chemical</v>
      </c>
      <c r="D73" t="str">
        <f>Raw_Data!D73</f>
        <v>Austin</v>
      </c>
      <c r="E73" s="6">
        <f>Raw_Data!E73</f>
        <v>6</v>
      </c>
      <c r="F73" s="6">
        <f>Raw_Data!F73</f>
        <v>25</v>
      </c>
      <c r="G73" s="6">
        <f>Raw_Data!G73</f>
        <v>100</v>
      </c>
      <c r="H73" s="4">
        <f>Raw_Data!H73</f>
        <v>301.48</v>
      </c>
      <c r="I73" t="str">
        <f>Raw_Data!I73</f>
        <v>Metro Hardware Group</v>
      </c>
      <c r="J73" s="5">
        <f>Raw_Data!J73</f>
        <v>46153</v>
      </c>
      <c r="K73" s="6">
        <f>Raw_Data!K73</f>
        <v>10</v>
      </c>
      <c r="L73" s="4">
        <f t="shared" si="12"/>
        <v>1808.88</v>
      </c>
      <c r="M73" t="str">
        <f t="shared" si="13"/>
        <v>Reorder Needed</v>
      </c>
      <c r="N73" t="str">
        <f t="shared" si="14"/>
        <v>OK</v>
      </c>
      <c r="O73" s="7">
        <f t="shared" ca="1" si="15"/>
        <v>51</v>
      </c>
      <c r="P73" t="str">
        <f t="shared" ca="1" si="16"/>
        <v>31-60 days</v>
      </c>
      <c r="Q73" t="str">
        <f t="shared" si="17"/>
        <v>Low Stock</v>
      </c>
    </row>
    <row r="74" spans="1:17">
      <c r="A74" t="str">
        <f>Raw_Data!A74</f>
        <v>PK-1073</v>
      </c>
      <c r="B74" t="str">
        <f>Raw_Data!B74</f>
        <v>Crate Insert D</v>
      </c>
      <c r="C74" t="str">
        <f>Raw_Data!C74</f>
        <v>Packaging</v>
      </c>
      <c r="D74" t="str">
        <f>Raw_Data!D74</f>
        <v>Austin</v>
      </c>
      <c r="E74" s="6">
        <f>Raw_Data!E74</f>
        <v>175</v>
      </c>
      <c r="F74" s="6">
        <f>Raw_Data!F74</f>
        <v>75</v>
      </c>
      <c r="G74" s="6">
        <f>Raw_Data!G74</f>
        <v>375</v>
      </c>
      <c r="H74" s="4">
        <f>Raw_Data!H74</f>
        <v>283.19</v>
      </c>
      <c r="I74" t="str">
        <f>Raw_Data!I74</f>
        <v>Skyway Parts LLC</v>
      </c>
      <c r="J74" s="5">
        <f>Raw_Data!J74</f>
        <v>46157</v>
      </c>
      <c r="K74" s="6">
        <f>Raw_Data!K74</f>
        <v>14</v>
      </c>
      <c r="L74" s="4">
        <f t="shared" si="12"/>
        <v>49558.25</v>
      </c>
      <c r="M74" t="str">
        <f t="shared" si="13"/>
        <v>OK</v>
      </c>
      <c r="N74" t="str">
        <f t="shared" si="14"/>
        <v>OK</v>
      </c>
      <c r="O74" s="7">
        <f t="shared" ca="1" si="15"/>
        <v>47</v>
      </c>
      <c r="P74" t="str">
        <f t="shared" ca="1" si="16"/>
        <v>31-60 days</v>
      </c>
      <c r="Q74" t="str">
        <f t="shared" ca="1" si="17"/>
        <v>OK</v>
      </c>
    </row>
    <row r="75" spans="1:17">
      <c r="A75" t="str">
        <f>Raw_Data!A75</f>
        <v>EL-1074</v>
      </c>
      <c r="B75" t="str">
        <f>Raw_Data!B75</f>
        <v>Circuit Breaker STD</v>
      </c>
      <c r="C75" t="str">
        <f>Raw_Data!C75</f>
        <v>Electrical</v>
      </c>
      <c r="D75" t="str">
        <f>Raw_Data!D75</f>
        <v>San Antonio</v>
      </c>
      <c r="E75" s="6">
        <f>Raw_Data!E75</f>
        <v>1</v>
      </c>
      <c r="F75" s="6">
        <f>Raw_Data!F75</f>
        <v>20</v>
      </c>
      <c r="G75" s="6">
        <f>Raw_Data!G75</f>
        <v>100</v>
      </c>
      <c r="H75" s="4">
        <f>Raw_Data!H75</f>
        <v>526.80999999999995</v>
      </c>
      <c r="I75" t="str">
        <f>Raw_Data!I75</f>
        <v>Metro Hardware Group</v>
      </c>
      <c r="J75" s="5">
        <f>Raw_Data!J75</f>
        <v>46039</v>
      </c>
      <c r="K75" s="6">
        <f>Raw_Data!K75</f>
        <v>60</v>
      </c>
      <c r="L75" s="4">
        <f t="shared" si="12"/>
        <v>526.80999999999995</v>
      </c>
      <c r="M75" t="str">
        <f t="shared" si="13"/>
        <v>Reorder Needed</v>
      </c>
      <c r="N75" t="str">
        <f t="shared" si="14"/>
        <v>OK</v>
      </c>
      <c r="O75" s="7">
        <f t="shared" ca="1" si="15"/>
        <v>165</v>
      </c>
      <c r="P75" t="str">
        <f t="shared" ca="1" si="16"/>
        <v>90+ days</v>
      </c>
      <c r="Q75" t="str">
        <f t="shared" si="17"/>
        <v>Low Stock</v>
      </c>
    </row>
    <row r="76" spans="1:17">
      <c r="A76" t="str">
        <f>Raw_Data!A76</f>
        <v>TL-1075</v>
      </c>
      <c r="B76" t="str">
        <f>Raw_Data!B76</f>
        <v>Torque Wrench D</v>
      </c>
      <c r="C76" t="str">
        <f>Raw_Data!C76</f>
        <v>Tools</v>
      </c>
      <c r="D76" t="str">
        <f>Raw_Data!D76</f>
        <v>Dallas</v>
      </c>
      <c r="E76" s="6">
        <f>Raw_Data!E76</f>
        <v>221</v>
      </c>
      <c r="F76" s="6">
        <f>Raw_Data!F76</f>
        <v>100</v>
      </c>
      <c r="G76" s="6">
        <f>Raw_Data!G76</f>
        <v>300</v>
      </c>
      <c r="H76" s="4">
        <f>Raw_Data!H76</f>
        <v>456.08</v>
      </c>
      <c r="I76" t="str">
        <f>Raw_Data!I76</f>
        <v>Skyway Parts LLC</v>
      </c>
      <c r="J76" s="5">
        <f>Raw_Data!J76</f>
        <v>46155</v>
      </c>
      <c r="K76" s="6">
        <f>Raw_Data!K76</f>
        <v>7</v>
      </c>
      <c r="L76" s="4">
        <f t="shared" si="12"/>
        <v>100793.68</v>
      </c>
      <c r="M76" t="str">
        <f t="shared" si="13"/>
        <v>OK</v>
      </c>
      <c r="N76" t="str">
        <f t="shared" si="14"/>
        <v>OK</v>
      </c>
      <c r="O76" s="7">
        <f t="shared" ca="1" si="15"/>
        <v>49</v>
      </c>
      <c r="P76" t="str">
        <f t="shared" ca="1" si="16"/>
        <v>31-60 days</v>
      </c>
      <c r="Q76" t="str">
        <f t="shared" ca="1" si="17"/>
        <v>OK</v>
      </c>
    </row>
    <row r="77" spans="1:17">
      <c r="A77" t="str">
        <f>Raw_Data!A77</f>
        <v>HW-1076</v>
      </c>
      <c r="B77" t="str">
        <f>Raw_Data!B77</f>
        <v>Titanium Bolt D</v>
      </c>
      <c r="C77" t="str">
        <f>Raw_Data!C77</f>
        <v>Hardware</v>
      </c>
      <c r="D77" t="str">
        <f>Raw_Data!D77</f>
        <v>Dallas</v>
      </c>
      <c r="E77" s="6">
        <f>Raw_Data!E77</f>
        <v>119</v>
      </c>
      <c r="F77" s="6">
        <f>Raw_Data!F77</f>
        <v>100</v>
      </c>
      <c r="G77" s="6">
        <f>Raw_Data!G77</f>
        <v>300</v>
      </c>
      <c r="H77" s="4">
        <f>Raw_Data!H77</f>
        <v>549.23</v>
      </c>
      <c r="I77" t="str">
        <f>Raw_Data!I77</f>
        <v>AeroFast Supply Co.</v>
      </c>
      <c r="J77" s="5">
        <f>Raw_Data!J77</f>
        <v>46164</v>
      </c>
      <c r="K77" s="6">
        <f>Raw_Data!K77</f>
        <v>10</v>
      </c>
      <c r="L77" s="4">
        <f t="shared" si="12"/>
        <v>65358.37</v>
      </c>
      <c r="M77" t="str">
        <f t="shared" si="13"/>
        <v>OK</v>
      </c>
      <c r="N77" t="str">
        <f t="shared" si="14"/>
        <v>OK</v>
      </c>
      <c r="O77" s="7">
        <f t="shared" ca="1" si="15"/>
        <v>40</v>
      </c>
      <c r="P77" t="str">
        <f t="shared" ca="1" si="16"/>
        <v>31-60 days</v>
      </c>
      <c r="Q77" t="str">
        <f t="shared" ca="1" si="17"/>
        <v>OK</v>
      </c>
    </row>
    <row r="78" spans="1:17">
      <c r="A78" t="str">
        <f>Raw_Data!A78</f>
        <v>TL-1077</v>
      </c>
      <c r="B78" t="str">
        <f>Raw_Data!B78</f>
        <v>Torque Wrench XL</v>
      </c>
      <c r="C78" t="str">
        <f>Raw_Data!C78</f>
        <v>Tools</v>
      </c>
      <c r="D78" t="str">
        <f>Raw_Data!D78</f>
        <v>Austin</v>
      </c>
      <c r="E78" s="6">
        <f>Raw_Data!E78</f>
        <v>6</v>
      </c>
      <c r="F78" s="6">
        <f>Raw_Data!F78</f>
        <v>10</v>
      </c>
      <c r="G78" s="6">
        <f>Raw_Data!G78</f>
        <v>40</v>
      </c>
      <c r="H78" s="4">
        <f>Raw_Data!H78</f>
        <v>576.99</v>
      </c>
      <c r="I78" t="str">
        <f>Raw_Data!I78</f>
        <v>Vector Components</v>
      </c>
      <c r="J78" s="5">
        <f>Raw_Data!J78</f>
        <v>46069</v>
      </c>
      <c r="K78" s="6">
        <f>Raw_Data!K78</f>
        <v>21</v>
      </c>
      <c r="L78" s="4">
        <f t="shared" si="12"/>
        <v>3461.94</v>
      </c>
      <c r="M78" t="str">
        <f t="shared" si="13"/>
        <v>Reorder Needed</v>
      </c>
      <c r="N78" t="str">
        <f t="shared" si="14"/>
        <v>OK</v>
      </c>
      <c r="O78" s="7">
        <f t="shared" ca="1" si="15"/>
        <v>135</v>
      </c>
      <c r="P78" t="str">
        <f t="shared" ca="1" si="16"/>
        <v>90+ days</v>
      </c>
      <c r="Q78" t="str">
        <f t="shared" si="17"/>
        <v>Low Stock</v>
      </c>
    </row>
    <row r="79" spans="1:17">
      <c r="A79" t="str">
        <f>Raw_Data!A79</f>
        <v>CH-1078</v>
      </c>
      <c r="B79" t="str">
        <f>Raw_Data!B79</f>
        <v>Primer Coating D</v>
      </c>
      <c r="C79" t="str">
        <f>Raw_Data!C79</f>
        <v>Chemical</v>
      </c>
      <c r="D79" t="str">
        <f>Raw_Data!D79</f>
        <v>Austin</v>
      </c>
      <c r="E79" s="6">
        <f>Raw_Data!E79</f>
        <v>631</v>
      </c>
      <c r="F79" s="6">
        <f>Raw_Data!F79</f>
        <v>100</v>
      </c>
      <c r="G79" s="6">
        <f>Raw_Data!G79</f>
        <v>600</v>
      </c>
      <c r="H79" s="4">
        <f>Raw_Data!H79</f>
        <v>580.13</v>
      </c>
      <c r="I79" t="str">
        <f>Raw_Data!I79</f>
        <v>Lone Star Industrial</v>
      </c>
      <c r="J79" s="5">
        <f>Raw_Data!J79</f>
        <v>46149</v>
      </c>
      <c r="K79" s="6">
        <f>Raw_Data!K79</f>
        <v>45</v>
      </c>
      <c r="L79" s="4">
        <f t="shared" si="12"/>
        <v>366062.02999999997</v>
      </c>
      <c r="M79" t="str">
        <f t="shared" si="13"/>
        <v>OK</v>
      </c>
      <c r="N79" t="str">
        <f t="shared" si="14"/>
        <v>Overstock</v>
      </c>
      <c r="O79" s="7">
        <f t="shared" ca="1" si="15"/>
        <v>55</v>
      </c>
      <c r="P79" t="str">
        <f t="shared" ca="1" si="16"/>
        <v>31-60 days</v>
      </c>
      <c r="Q79" t="str">
        <f t="shared" si="17"/>
        <v>Overstock</v>
      </c>
    </row>
    <row r="80" spans="1:17">
      <c r="A80" t="str">
        <f>Raw_Data!A80</f>
        <v>HY-1079</v>
      </c>
      <c r="B80" t="str">
        <f>Raw_Data!B80</f>
        <v>O-Ring Seal C</v>
      </c>
      <c r="C80" t="str">
        <f>Raw_Data!C80</f>
        <v>Hydraulic</v>
      </c>
      <c r="D80" t="str">
        <f>Raw_Data!D80</f>
        <v>Dallas</v>
      </c>
      <c r="E80" s="6">
        <f>Raw_Data!E80</f>
        <v>2</v>
      </c>
      <c r="F80" s="6">
        <f>Raw_Data!F80</f>
        <v>20</v>
      </c>
      <c r="G80" s="6">
        <f>Raw_Data!G80</f>
        <v>80</v>
      </c>
      <c r="H80" s="4">
        <f>Raw_Data!H80</f>
        <v>150.81</v>
      </c>
      <c r="I80" t="str">
        <f>Raw_Data!I80</f>
        <v>Precision Pack &amp; Ship</v>
      </c>
      <c r="J80" s="5">
        <f>Raw_Data!J80</f>
        <v>46087</v>
      </c>
      <c r="K80" s="6">
        <f>Raw_Data!K80</f>
        <v>45</v>
      </c>
      <c r="L80" s="4">
        <f t="shared" si="12"/>
        <v>301.62</v>
      </c>
      <c r="M80" t="str">
        <f t="shared" si="13"/>
        <v>Reorder Needed</v>
      </c>
      <c r="N80" t="str">
        <f t="shared" si="14"/>
        <v>OK</v>
      </c>
      <c r="O80" s="7">
        <f t="shared" ca="1" si="15"/>
        <v>117</v>
      </c>
      <c r="P80" t="str">
        <f t="shared" ca="1" si="16"/>
        <v>90+ days</v>
      </c>
      <c r="Q80" t="str">
        <f t="shared" si="17"/>
        <v>Low Stock</v>
      </c>
    </row>
    <row r="81" spans="1:17">
      <c r="A81" t="str">
        <f>Raw_Data!A81</f>
        <v>AV-1080</v>
      </c>
      <c r="B81" t="str">
        <f>Raw_Data!B81</f>
        <v>Control Relay D</v>
      </c>
      <c r="C81" t="str">
        <f>Raw_Data!C81</f>
        <v>Avionics</v>
      </c>
      <c r="D81" t="str">
        <f>Raw_Data!D81</f>
        <v>Austin</v>
      </c>
      <c r="E81" s="6">
        <f>Raw_Data!E81</f>
        <v>50</v>
      </c>
      <c r="F81" s="6">
        <f>Raw_Data!F81</f>
        <v>10</v>
      </c>
      <c r="G81" s="6">
        <f>Raw_Data!G81</f>
        <v>40</v>
      </c>
      <c r="H81" s="4">
        <f>Raw_Data!H81</f>
        <v>668.58</v>
      </c>
      <c r="I81" t="str">
        <f>Raw_Data!I81</f>
        <v>DFW Tooling Supply</v>
      </c>
      <c r="J81" s="5">
        <f>Raw_Data!J81</f>
        <v>46184</v>
      </c>
      <c r="K81" s="6">
        <f>Raw_Data!K81</f>
        <v>45</v>
      </c>
      <c r="L81" s="4">
        <f t="shared" si="12"/>
        <v>33429</v>
      </c>
      <c r="M81" t="str">
        <f t="shared" si="13"/>
        <v>OK</v>
      </c>
      <c r="N81" t="str">
        <f t="shared" si="14"/>
        <v>Overstock</v>
      </c>
      <c r="O81" s="7">
        <f t="shared" ca="1" si="15"/>
        <v>20</v>
      </c>
      <c r="P81" t="str">
        <f t="shared" ca="1" si="16"/>
        <v>0-30 days</v>
      </c>
      <c r="Q81" t="str">
        <f t="shared" si="17"/>
        <v>Overstock</v>
      </c>
    </row>
  </sheetData>
  <conditionalFormatting sqref="M2:M81">
    <cfRule type="expression" dxfId="7" priority="1">
      <formula>M2="Reorder Needed"</formula>
    </cfRule>
  </conditionalFormatting>
  <conditionalFormatting sqref="N2:N81">
    <cfRule type="expression" dxfId="6" priority="2">
      <formula>N2="Overstock"</formula>
    </cfRule>
  </conditionalFormatting>
  <conditionalFormatting sqref="Q2:Q81">
    <cfRule type="expression" dxfId="5" priority="3">
      <formula>Q2="OK"</formula>
    </cfRule>
    <cfRule type="expression" dxfId="4" priority="4">
      <formula>Q2&lt;&gt;"OK"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7"/>
  <sheetViews>
    <sheetView workbookViewId="0">
      <selection activeCell="F32" sqref="F32"/>
    </sheetView>
  </sheetViews>
  <sheetFormatPr defaultRowHeight="14.25"/>
  <cols>
    <col min="1" max="1" width="24" customWidth="1"/>
    <col min="2" max="2" width="18" customWidth="1"/>
    <col min="3" max="5" width="12" customWidth="1"/>
    <col min="7" max="8" width="18" customWidth="1"/>
    <col min="9" max="11" width="12" customWidth="1"/>
  </cols>
  <sheetData>
    <row r="1" spans="1:17" ht="30" customHeight="1">
      <c r="A1" s="14" t="s">
        <v>176</v>
      </c>
      <c r="B1" s="14"/>
      <c r="C1" s="14"/>
      <c r="D1" s="14"/>
      <c r="E1" s="14"/>
      <c r="F1" s="14"/>
      <c r="G1" s="14"/>
      <c r="H1" s="14"/>
      <c r="I1" s="12"/>
      <c r="J1" s="12"/>
      <c r="K1" s="12"/>
      <c r="L1" s="12"/>
      <c r="M1" s="12"/>
      <c r="N1" s="12"/>
      <c r="O1" s="12"/>
      <c r="P1" s="12"/>
      <c r="Q1" s="12"/>
    </row>
    <row r="3" spans="1:17" ht="15">
      <c r="A3" s="1" t="s">
        <v>177</v>
      </c>
      <c r="B3" s="1" t="s">
        <v>178</v>
      </c>
      <c r="G3" s="1" t="s">
        <v>13</v>
      </c>
      <c r="H3" s="1" t="s">
        <v>179</v>
      </c>
      <c r="I3" s="1" t="s">
        <v>180</v>
      </c>
      <c r="J3" s="1" t="s">
        <v>181</v>
      </c>
      <c r="K3" s="1" t="s">
        <v>182</v>
      </c>
    </row>
    <row r="4" spans="1:17" ht="15">
      <c r="A4" s="8" t="s">
        <v>183</v>
      </c>
      <c r="B4" s="9">
        <f>SUM(Clean_Data!L2:L81)</f>
        <v>5003362.63</v>
      </c>
      <c r="G4" s="8" t="s">
        <v>29</v>
      </c>
      <c r="H4" s="4">
        <f>SUMIF(Clean_Data!C:C,G4,Clean_Data!L:L)</f>
        <v>200115.93</v>
      </c>
      <c r="I4" s="7">
        <f>COUNTIF(Clean_Data!C:C,G4)</f>
        <v>7</v>
      </c>
      <c r="J4" s="7">
        <f>COUNTIFS(Clean_Data!C:C,G4,Clean_Data!M:M,"Reorder Needed")</f>
        <v>2</v>
      </c>
      <c r="K4" s="7">
        <f>COUNTIFS(Clean_Data!C:C,G4,Clean_Data!N:N,"Overstock")</f>
        <v>0</v>
      </c>
    </row>
    <row r="5" spans="1:17" ht="15">
      <c r="A5" s="8" t="s">
        <v>184</v>
      </c>
      <c r="B5" s="10">
        <f>COUNTA(Clean_Data!A2:A81)</f>
        <v>80</v>
      </c>
      <c r="G5" s="8" t="s">
        <v>56</v>
      </c>
      <c r="H5" s="4">
        <f>SUMIF(Clean_Data!C:C,G5,Clean_Data!L:L)</f>
        <v>967886.85000000009</v>
      </c>
      <c r="I5" s="7">
        <f>COUNTIF(Clean_Data!C:C,G5)</f>
        <v>19</v>
      </c>
      <c r="J5" s="7">
        <f>COUNTIFS(Clean_Data!C:C,G5,Clean_Data!M:M,"Reorder Needed")</f>
        <v>3</v>
      </c>
      <c r="K5" s="7">
        <f>COUNTIFS(Clean_Data!C:C,G5,Clean_Data!N:N,"Overstock")</f>
        <v>4</v>
      </c>
    </row>
    <row r="6" spans="1:17" ht="15">
      <c r="A6" s="8" t="s">
        <v>185</v>
      </c>
      <c r="B6" s="10">
        <f>COUNTIF(Clean_Data!M2:M81,"Reorder Needed")</f>
        <v>13</v>
      </c>
      <c r="G6" s="8" t="s">
        <v>52</v>
      </c>
      <c r="H6" s="4">
        <f>SUMIF(Clean_Data!C:C,G6,Clean_Data!L:L)</f>
        <v>928821.30999999994</v>
      </c>
      <c r="I6" s="7">
        <f>COUNTIF(Clean_Data!C:C,G6)</f>
        <v>13</v>
      </c>
      <c r="J6" s="7">
        <f>COUNTIFS(Clean_Data!C:C,G6,Clean_Data!M:M,"Reorder Needed")</f>
        <v>1</v>
      </c>
      <c r="K6" s="7">
        <f>COUNTIFS(Clean_Data!C:C,G6,Clean_Data!N:N,"Overstock")</f>
        <v>2</v>
      </c>
    </row>
    <row r="7" spans="1:17" ht="15">
      <c r="A7" s="8" t="s">
        <v>186</v>
      </c>
      <c r="B7" s="10">
        <f>COUNTIF(Clean_Data!N2:N81,"Overstock")</f>
        <v>11</v>
      </c>
      <c r="G7" s="8" t="s">
        <v>62</v>
      </c>
      <c r="H7" s="4">
        <f>SUMIF(Clean_Data!C:C,G7,Clean_Data!L:L)</f>
        <v>1160201.82</v>
      </c>
      <c r="I7" s="7">
        <f>COUNTIF(Clean_Data!C:C,G7)</f>
        <v>9</v>
      </c>
      <c r="J7" s="7">
        <f>COUNTIFS(Clean_Data!C:C,G7,Clean_Data!M:M,"Reorder Needed")</f>
        <v>2</v>
      </c>
      <c r="K7" s="7">
        <f>COUNTIFS(Clean_Data!C:C,G7,Clean_Data!N:N,"Overstock")</f>
        <v>2</v>
      </c>
    </row>
    <row r="8" spans="1:17" ht="15">
      <c r="A8" s="8" t="s">
        <v>187</v>
      </c>
      <c r="B8" s="10">
        <f ca="1">COUNTIF(Clean_Data!P2:P81,"90+ days")</f>
        <v>42</v>
      </c>
      <c r="G8" s="8" t="s">
        <v>33</v>
      </c>
      <c r="H8" s="4">
        <f>SUMIF(Clean_Data!C:C,G8,Clean_Data!L:L)</f>
        <v>653772.17000000004</v>
      </c>
      <c r="I8" s="7">
        <f>COUNTIF(Clean_Data!C:C,G8)</f>
        <v>10</v>
      </c>
      <c r="J8" s="7">
        <f>COUNTIFS(Clean_Data!C:C,G8,Clean_Data!M:M,"Reorder Needed")</f>
        <v>2</v>
      </c>
      <c r="K8" s="7">
        <f>COUNTIFS(Clean_Data!C:C,G8,Clean_Data!N:N,"Overstock")</f>
        <v>2</v>
      </c>
    </row>
    <row r="9" spans="1:17" ht="15">
      <c r="A9" s="8" t="s">
        <v>188</v>
      </c>
      <c r="B9" s="11">
        <f>AVERAGE(Clean_Data!K2:K81)</f>
        <v>26.375</v>
      </c>
      <c r="G9" s="8" t="s">
        <v>24</v>
      </c>
      <c r="H9" s="4">
        <f>SUMIF(Clean_Data!C:C,G9,Clean_Data!L:L)</f>
        <v>652611.99999999988</v>
      </c>
      <c r="I9" s="7">
        <f>COUNTIF(Clean_Data!C:C,G9)</f>
        <v>15</v>
      </c>
      <c r="J9" s="7">
        <f>COUNTIFS(Clean_Data!C:C,G9,Clean_Data!M:M,"Reorder Needed")</f>
        <v>2</v>
      </c>
      <c r="K9" s="7">
        <f>COUNTIFS(Clean_Data!C:C,G9,Clean_Data!N:N,"Overstock")</f>
        <v>1</v>
      </c>
    </row>
    <row r="10" spans="1:17" ht="15">
      <c r="G10" s="8" t="s">
        <v>42</v>
      </c>
      <c r="H10" s="4">
        <f>SUMIF(Clean_Data!C:C,G10,Clean_Data!L:L)</f>
        <v>439952.55</v>
      </c>
      <c r="I10" s="7">
        <f>COUNTIF(Clean_Data!C:C,G10)</f>
        <v>7</v>
      </c>
      <c r="J10" s="7">
        <f>COUNTIFS(Clean_Data!C:C,G10,Clean_Data!M:M,"Reorder Needed")</f>
        <v>1</v>
      </c>
      <c r="K10" s="7">
        <f>COUNTIFS(Clean_Data!C:C,G10,Clean_Data!N:N,"Overstock")</f>
        <v>0</v>
      </c>
    </row>
    <row r="12" spans="1:17" ht="15">
      <c r="A12" s="1" t="s">
        <v>14</v>
      </c>
      <c r="B12" s="1" t="s">
        <v>179</v>
      </c>
      <c r="C12" s="1" t="s">
        <v>180</v>
      </c>
      <c r="D12" s="1" t="s">
        <v>181</v>
      </c>
      <c r="E12" s="1" t="s">
        <v>182</v>
      </c>
    </row>
    <row r="13" spans="1:17" ht="15">
      <c r="A13" s="8" t="s">
        <v>25</v>
      </c>
      <c r="B13" s="4">
        <f>SUMIF(Clean_Data!D:D,A13,Clean_Data!L:L)</f>
        <v>1300802.3600000001</v>
      </c>
      <c r="C13" s="7">
        <f>COUNTIF(Clean_Data!D:D,A13)</f>
        <v>25</v>
      </c>
      <c r="D13" s="7">
        <f>COUNTIFS(Clean_Data!D:D,A13,Clean_Data!M:M,"Reorder Needed")</f>
        <v>5</v>
      </c>
      <c r="E13" s="7">
        <f>COUNTIFS(Clean_Data!D:D,A13,Clean_Data!N:N,"Overstock")</f>
        <v>3</v>
      </c>
      <c r="G13" s="15" t="s">
        <v>189</v>
      </c>
      <c r="H13" s="15"/>
      <c r="I13" s="15"/>
      <c r="J13" s="15"/>
      <c r="K13" s="15"/>
    </row>
    <row r="14" spans="1:17" ht="42" customHeight="1">
      <c r="A14" s="8" t="s">
        <v>48</v>
      </c>
      <c r="B14" s="4">
        <f>SUMIF(Clean_Data!D:D,A14,Clean_Data!L:L)</f>
        <v>659405.98</v>
      </c>
      <c r="C14" s="7">
        <f>COUNTIF(Clean_Data!D:D,A14)</f>
        <v>17</v>
      </c>
      <c r="D14" s="7">
        <f>COUNTIFS(Clean_Data!D:D,A14,Clean_Data!M:M,"Reorder Needed")</f>
        <v>3</v>
      </c>
      <c r="E14" s="7">
        <f>COUNTIFS(Clean_Data!D:D,A14,Clean_Data!N:N,"Overstock")</f>
        <v>2</v>
      </c>
      <c r="G14" s="8" t="s">
        <v>190</v>
      </c>
      <c r="H14" s="3" t="s">
        <v>191</v>
      </c>
      <c r="I14" s="3"/>
      <c r="J14" s="3"/>
      <c r="K14" s="3"/>
    </row>
    <row r="15" spans="1:17" ht="42" customHeight="1">
      <c r="A15" s="8" t="s">
        <v>65</v>
      </c>
      <c r="B15" s="4">
        <f>SUMIF(Clean_Data!D:D,A15,Clean_Data!L:L)</f>
        <v>1112833.2599999998</v>
      </c>
      <c r="C15" s="7">
        <f>COUNTIF(Clean_Data!D:D,A15)</f>
        <v>15</v>
      </c>
      <c r="D15" s="7">
        <f>COUNTIFS(Clean_Data!D:D,A15,Clean_Data!M:M,"Reorder Needed")</f>
        <v>3</v>
      </c>
      <c r="E15" s="7">
        <f>COUNTIFS(Clean_Data!D:D,A15,Clean_Data!N:N,"Overstock")</f>
        <v>5</v>
      </c>
      <c r="G15" s="8" t="s">
        <v>192</v>
      </c>
      <c r="H15" s="3" t="s">
        <v>193</v>
      </c>
      <c r="I15" s="3"/>
      <c r="J15" s="3"/>
      <c r="K15" s="3"/>
    </row>
    <row r="16" spans="1:17" ht="42" customHeight="1">
      <c r="A16" s="8" t="s">
        <v>59</v>
      </c>
      <c r="B16" s="4">
        <f>SUMIF(Clean_Data!D:D,A16,Clean_Data!L:L)</f>
        <v>781597.37999999989</v>
      </c>
      <c r="C16" s="7">
        <f>COUNTIF(Clean_Data!D:D,A16)</f>
        <v>8</v>
      </c>
      <c r="D16" s="7">
        <f>COUNTIFS(Clean_Data!D:D,A16,Clean_Data!M:M,"Reorder Needed")</f>
        <v>1</v>
      </c>
      <c r="E16" s="7">
        <f>COUNTIFS(Clean_Data!D:D,A16,Clean_Data!N:N,"Overstock")</f>
        <v>1</v>
      </c>
      <c r="G16" s="8" t="s">
        <v>194</v>
      </c>
      <c r="H16" s="3" t="s">
        <v>195</v>
      </c>
      <c r="I16" s="3"/>
      <c r="J16" s="3"/>
      <c r="K16" s="3"/>
    </row>
    <row r="17" spans="1:11" ht="42" customHeight="1">
      <c r="A17" s="8" t="s">
        <v>39</v>
      </c>
      <c r="B17" s="4">
        <f>SUMIF(Clean_Data!D:D,A17,Clean_Data!L:L)</f>
        <v>1148723.6500000001</v>
      </c>
      <c r="C17" s="7">
        <f>COUNTIF(Clean_Data!D:D,A17)</f>
        <v>15</v>
      </c>
      <c r="D17" s="7">
        <f>COUNTIFS(Clean_Data!D:D,A17,Clean_Data!M:M,"Reorder Needed")</f>
        <v>1</v>
      </c>
      <c r="E17" s="7">
        <f>COUNTIFS(Clean_Data!D:D,A17,Clean_Data!N:N,"Overstock")</f>
        <v>0</v>
      </c>
      <c r="G17" s="8" t="s">
        <v>196</v>
      </c>
      <c r="H17" s="3" t="s">
        <v>197</v>
      </c>
      <c r="I17" s="3"/>
      <c r="J17" s="3"/>
      <c r="K17" s="3"/>
    </row>
  </sheetData>
  <mergeCells count="2">
    <mergeCell ref="A1:H1"/>
    <mergeCell ref="G13:K13"/>
  </mergeCells>
  <conditionalFormatting sqref="D13:D17">
    <cfRule type="cellIs" dxfId="3" priority="1" operator="greaterThan">
      <formula>0</formula>
    </cfRule>
  </conditionalFormatting>
  <conditionalFormatting sqref="E13:E17">
    <cfRule type="cellIs" dxfId="2" priority="2" operator="greaterThan">
      <formula>0</formula>
    </cfRule>
  </conditionalFormatting>
  <conditionalFormatting sqref="J4:J10">
    <cfRule type="cellIs" dxfId="1" priority="3" operator="greaterThan">
      <formula>0</formula>
    </cfRule>
  </conditionalFormatting>
  <conditionalFormatting sqref="K4:K10">
    <cfRule type="cellIs" dxfId="0" priority="4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6"/>
  <sheetViews>
    <sheetView tabSelected="1" workbookViewId="0">
      <selection sqref="A1:D1"/>
    </sheetView>
  </sheetViews>
  <sheetFormatPr defaultRowHeight="14.25"/>
  <cols>
    <col min="1" max="1" width="22" customWidth="1"/>
    <col min="2" max="2" width="42" customWidth="1"/>
    <col min="3" max="3" width="38" customWidth="1"/>
    <col min="4" max="4" width="44" customWidth="1"/>
  </cols>
  <sheetData>
    <row r="1" spans="1:17" ht="27.95" customHeight="1">
      <c r="A1" s="14" t="s">
        <v>198</v>
      </c>
      <c r="B1" s="14"/>
      <c r="C1" s="14"/>
      <c r="D1" s="14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ht="15">
      <c r="A3" s="1" t="s">
        <v>199</v>
      </c>
      <c r="B3" s="1" t="s">
        <v>200</v>
      </c>
      <c r="C3" s="1" t="s">
        <v>201</v>
      </c>
      <c r="D3" s="1" t="s">
        <v>202</v>
      </c>
    </row>
    <row r="4" spans="1:17" ht="15">
      <c r="A4" s="8" t="s">
        <v>11</v>
      </c>
      <c r="B4" s="3" t="s">
        <v>203</v>
      </c>
      <c r="C4" s="3" t="s">
        <v>204</v>
      </c>
      <c r="D4" s="3" t="s">
        <v>205</v>
      </c>
    </row>
    <row r="5" spans="1:17" ht="15">
      <c r="A5" s="8" t="s">
        <v>12</v>
      </c>
      <c r="B5" s="3" t="s">
        <v>206</v>
      </c>
      <c r="C5" s="3" t="s">
        <v>204</v>
      </c>
      <c r="D5" s="3" t="s">
        <v>207</v>
      </c>
    </row>
    <row r="6" spans="1:17" ht="15">
      <c r="A6" s="8" t="s">
        <v>13</v>
      </c>
      <c r="B6" s="3" t="s">
        <v>208</v>
      </c>
      <c r="C6" s="3" t="s">
        <v>204</v>
      </c>
      <c r="D6" s="3" t="s">
        <v>209</v>
      </c>
    </row>
    <row r="7" spans="1:17" ht="15">
      <c r="A7" s="8" t="s">
        <v>14</v>
      </c>
      <c r="B7" s="3" t="s">
        <v>210</v>
      </c>
      <c r="C7" s="3" t="s">
        <v>204</v>
      </c>
      <c r="D7" s="3" t="s">
        <v>211</v>
      </c>
    </row>
    <row r="8" spans="1:17" ht="15">
      <c r="A8" s="8" t="s">
        <v>15</v>
      </c>
      <c r="B8" s="3" t="s">
        <v>212</v>
      </c>
      <c r="C8" s="3" t="s">
        <v>204</v>
      </c>
      <c r="D8" s="3" t="s">
        <v>213</v>
      </c>
    </row>
    <row r="9" spans="1:17" ht="15">
      <c r="A9" s="8" t="s">
        <v>16</v>
      </c>
      <c r="B9" s="3" t="s">
        <v>214</v>
      </c>
      <c r="C9" s="3" t="s">
        <v>204</v>
      </c>
      <c r="D9" s="3" t="s">
        <v>215</v>
      </c>
    </row>
    <row r="10" spans="1:17" ht="15">
      <c r="A10" s="8" t="s">
        <v>17</v>
      </c>
      <c r="B10" s="3" t="s">
        <v>216</v>
      </c>
      <c r="C10" s="3" t="s">
        <v>204</v>
      </c>
      <c r="D10" s="3" t="s">
        <v>217</v>
      </c>
    </row>
    <row r="11" spans="1:17" ht="15">
      <c r="A11" s="8" t="s">
        <v>18</v>
      </c>
      <c r="B11" s="3" t="s">
        <v>218</v>
      </c>
      <c r="C11" s="3" t="s">
        <v>204</v>
      </c>
      <c r="D11" s="3" t="s">
        <v>219</v>
      </c>
    </row>
    <row r="12" spans="1:17" ht="15">
      <c r="A12" s="8" t="s">
        <v>170</v>
      </c>
      <c r="B12" s="3" t="s">
        <v>220</v>
      </c>
      <c r="C12" s="3" t="s">
        <v>221</v>
      </c>
      <c r="D12" s="3" t="s">
        <v>222</v>
      </c>
    </row>
    <row r="13" spans="1:17" ht="28.5">
      <c r="A13" s="8" t="s">
        <v>171</v>
      </c>
      <c r="B13" s="3" t="s">
        <v>223</v>
      </c>
      <c r="C13" s="3" t="s">
        <v>224</v>
      </c>
      <c r="D13" s="3" t="s">
        <v>225</v>
      </c>
    </row>
    <row r="14" spans="1:17" ht="28.5">
      <c r="A14" s="8" t="s">
        <v>172</v>
      </c>
      <c r="B14" s="3" t="s">
        <v>226</v>
      </c>
      <c r="C14" s="3" t="s">
        <v>227</v>
      </c>
      <c r="D14" s="3" t="s">
        <v>228</v>
      </c>
    </row>
    <row r="15" spans="1:17" ht="15">
      <c r="A15" s="8" t="s">
        <v>174</v>
      </c>
      <c r="B15" s="3" t="s">
        <v>229</v>
      </c>
      <c r="C15" s="3" t="s">
        <v>230</v>
      </c>
      <c r="D15" s="3" t="s">
        <v>231</v>
      </c>
    </row>
    <row r="16" spans="1:17" ht="15">
      <c r="A16" s="8" t="s">
        <v>175</v>
      </c>
      <c r="B16" s="3" t="s">
        <v>232</v>
      </c>
      <c r="C16" s="3" t="s">
        <v>233</v>
      </c>
      <c r="D16" s="3" t="s">
        <v>234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"/>
  <sheetViews>
    <sheetView workbookViewId="0"/>
  </sheetViews>
  <sheetFormatPr defaultRowHeight="14.25"/>
  <cols>
    <col min="1" max="1" width="9.375" bestFit="1" customWidth="1"/>
    <col min="2" max="2" width="10.625" bestFit="1" customWidth="1"/>
    <col min="3" max="3" width="19.5" bestFit="1" customWidth="1"/>
    <col min="4" max="4" width="14.375" bestFit="1" customWidth="1"/>
    <col min="5" max="5" width="11.125" customWidth="1"/>
  </cols>
  <sheetData>
    <row r="1" spans="1:17" ht="30">
      <c r="A1" s="13" t="s">
        <v>235</v>
      </c>
      <c r="B1" s="13" t="s">
        <v>236</v>
      </c>
      <c r="C1" s="13" t="s">
        <v>237</v>
      </c>
      <c r="D1" s="13" t="s">
        <v>238</v>
      </c>
      <c r="E1" s="13" t="s">
        <v>239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>
      <c r="A2" t="s">
        <v>29</v>
      </c>
      <c r="B2" t="s">
        <v>25</v>
      </c>
      <c r="C2" t="s">
        <v>49</v>
      </c>
      <c r="D2" t="s">
        <v>240</v>
      </c>
      <c r="E2" t="s">
        <v>241</v>
      </c>
    </row>
    <row r="3" spans="1:17">
      <c r="A3" t="s">
        <v>56</v>
      </c>
      <c r="B3" t="s">
        <v>48</v>
      </c>
      <c r="C3" t="s">
        <v>26</v>
      </c>
      <c r="D3" t="s">
        <v>242</v>
      </c>
      <c r="E3" t="s">
        <v>243</v>
      </c>
    </row>
    <row r="4" spans="1:17">
      <c r="A4" t="s">
        <v>52</v>
      </c>
      <c r="B4" t="s">
        <v>65</v>
      </c>
      <c r="C4" t="s">
        <v>68</v>
      </c>
      <c r="D4" t="s">
        <v>182</v>
      </c>
      <c r="E4" t="s">
        <v>244</v>
      </c>
    </row>
    <row r="5" spans="1:17">
      <c r="A5" t="s">
        <v>62</v>
      </c>
      <c r="B5" t="s">
        <v>59</v>
      </c>
      <c r="C5" t="s">
        <v>34</v>
      </c>
      <c r="E5" t="s">
        <v>245</v>
      </c>
    </row>
    <row r="6" spans="1:17">
      <c r="A6" t="s">
        <v>33</v>
      </c>
      <c r="B6" t="s">
        <v>39</v>
      </c>
      <c r="C6" t="s">
        <v>66</v>
      </c>
    </row>
    <row r="7" spans="1:17">
      <c r="A7" t="s">
        <v>24</v>
      </c>
      <c r="C7" t="s">
        <v>43</v>
      </c>
    </row>
    <row r="8" spans="1:17">
      <c r="A8" t="s">
        <v>42</v>
      </c>
      <c r="C8" t="s">
        <v>30</v>
      </c>
    </row>
    <row r="9" spans="1:17">
      <c r="C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Raw_Data</vt:lpstr>
      <vt:lpstr>Clean_Data</vt:lpstr>
      <vt:lpstr>Dashboard</vt:lpstr>
      <vt:lpstr>Data_Dictionary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Myers</cp:lastModifiedBy>
  <dcterms:modified xsi:type="dcterms:W3CDTF">2026-07-01T20:08:19Z</dcterms:modified>
</cp:coreProperties>
</file>